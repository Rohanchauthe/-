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rohanchauthe/Desktop/"/>
    </mc:Choice>
  </mc:AlternateContent>
  <xr:revisionPtr revIDLastSave="0" documentId="8_{2793E19F-AFCF-AE42-861F-8B26A99E1628}" xr6:coauthVersionLast="47" xr6:coauthVersionMax="47" xr10:uidLastSave="{00000000-0000-0000-0000-000000000000}"/>
  <bookViews>
    <workbookView xWindow="0" yWindow="680" windowWidth="29400" windowHeight="16720" firstSheet="4" activeTab="7" xr2:uid="{ABF18290-3223-401B-98F2-AEB724018DB3}"/>
  </bookViews>
  <sheets>
    <sheet name="Biology" sheetId="1" r:id="rId1"/>
    <sheet name="Chemistry" sheetId="2" r:id="rId2"/>
    <sheet name="Mathematics" sheetId="3" r:id="rId3"/>
    <sheet name="Philosophy" sheetId="4" r:id="rId4"/>
    <sheet name="Physics" sheetId="5" r:id="rId5"/>
    <sheet name="Sociology" sheetId="6" r:id="rId6"/>
    <sheet name="Additional Details" sheetId="7" r:id="rId7"/>
    <sheet name="Final Report" sheetId="8" r:id="rId8"/>
  </sheets>
  <definedNames>
    <definedName name="_xlchart.v1.0" hidden="1">'Final Report'!$A$31:$A$36</definedName>
    <definedName name="_xlchart.v1.1" hidden="1">'Final Report'!$B$30</definedName>
    <definedName name="_xlchart.v1.2" hidden="1">'Final Report'!$B$31:$B$36</definedName>
    <definedName name="_xlchart.v1.3" hidden="1">'Final Report'!$A$31:$A$36</definedName>
    <definedName name="_xlchart.v1.4" hidden="1">'Final Report'!$B$30</definedName>
    <definedName name="_xlchart.v1.5" hidden="1">'Final Report'!$B$31:$B$36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8" l="1"/>
  <c r="B35" i="8"/>
  <c r="B34" i="8"/>
  <c r="B33" i="8"/>
  <c r="B31" i="8"/>
  <c r="B32" i="8"/>
  <c r="B26" i="8"/>
  <c r="B27" i="8" s="1"/>
  <c r="B21" i="8"/>
  <c r="B13" i="8"/>
  <c r="B14" i="8"/>
  <c r="B15" i="8"/>
  <c r="B16" i="8"/>
  <c r="B17" i="8"/>
  <c r="B12" i="8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B18" i="8" l="1"/>
  <c r="B23" i="8"/>
  <c r="B22" i="8"/>
</calcChain>
</file>

<file path=xl/sharedStrings.xml><?xml version="1.0" encoding="utf-8"?>
<sst xmlns="http://schemas.openxmlformats.org/spreadsheetml/2006/main" count="715" uniqueCount="81">
  <si>
    <t>StudentID</t>
  </si>
  <si>
    <t>Student name</t>
  </si>
  <si>
    <t>Exam name</t>
  </si>
  <si>
    <t>Exam date</t>
  </si>
  <si>
    <t>Exam points</t>
  </si>
  <si>
    <t>Strengths/weakness</t>
  </si>
  <si>
    <t>James Walker</t>
  </si>
  <si>
    <t>Biology</t>
  </si>
  <si>
    <t>05/06/2016</t>
  </si>
  <si>
    <t>Velma Clemons</t>
  </si>
  <si>
    <t>Kibo Underwood</t>
  </si>
  <si>
    <t>Louis Mcgee</t>
  </si>
  <si>
    <t>Phyllis Paul</t>
  </si>
  <si>
    <t>Zenaida Decker</t>
  </si>
  <si>
    <t>Gillian Tillman</t>
  </si>
  <si>
    <t>Constance Boone</t>
  </si>
  <si>
    <t>Giselle Lancaster</t>
  </si>
  <si>
    <t>Kirsten Mcdowell</t>
  </si>
  <si>
    <t>Solomon Ray</t>
  </si>
  <si>
    <t>John Marshall</t>
  </si>
  <si>
    <t>Merrill Carney</t>
  </si>
  <si>
    <t>Hakeem Gillespie</t>
  </si>
  <si>
    <t>Hayden Boyer</t>
  </si>
  <si>
    <t>Griffin Mcleod</t>
  </si>
  <si>
    <t>Allistair Patton</t>
  </si>
  <si>
    <t>Rina Slater</t>
  </si>
  <si>
    <t>Caldwell Skinner</t>
  </si>
  <si>
    <t>Portia Galloway</t>
  </si>
  <si>
    <t>Noelle Valentine</t>
  </si>
  <si>
    <t>Abel Clay</t>
  </si>
  <si>
    <t>Stephanie Kent</t>
  </si>
  <si>
    <t>Axel Petty</t>
  </si>
  <si>
    <t>Nevada Morales</t>
  </si>
  <si>
    <t>Fuller Bush</t>
  </si>
  <si>
    <t>Quinn Mayo</t>
  </si>
  <si>
    <t>Marcia Shepard</t>
  </si>
  <si>
    <t>Kieran Moody</t>
  </si>
  <si>
    <t>Brielle Thompson</t>
  </si>
  <si>
    <t>Hashim Gay</t>
  </si>
  <si>
    <t>Deborah Roberts</t>
  </si>
  <si>
    <t>Nomlanga Clarke</t>
  </si>
  <si>
    <t>Elaine Downs</t>
  </si>
  <si>
    <t>Christen Ballard</t>
  </si>
  <si>
    <t>Dacey Baxter</t>
  </si>
  <si>
    <t>Nasim Sampson</t>
  </si>
  <si>
    <t>Yoshi Sherman</t>
  </si>
  <si>
    <t>Chemistry</t>
  </si>
  <si>
    <t>15/06/2016</t>
  </si>
  <si>
    <t>Mathematics</t>
  </si>
  <si>
    <t>29/07/2016</t>
  </si>
  <si>
    <t>Philosophy</t>
  </si>
  <si>
    <t>02/06/2016</t>
  </si>
  <si>
    <t>Physics</t>
  </si>
  <si>
    <t>10/06/2016</t>
  </si>
  <si>
    <t>Sociology</t>
  </si>
  <si>
    <t>21/06/2016</t>
  </si>
  <si>
    <t>Stacy Small</t>
  </si>
  <si>
    <t>Age</t>
  </si>
  <si>
    <t>Gender</t>
  </si>
  <si>
    <t>Ethnicity</t>
  </si>
  <si>
    <t>ParentalEducation</t>
  </si>
  <si>
    <t>StudyTimeWeekly</t>
  </si>
  <si>
    <t>Absences</t>
  </si>
  <si>
    <t>Tutoring</t>
  </si>
  <si>
    <t>ParentalSupport</t>
  </si>
  <si>
    <t>Extracurricular</t>
  </si>
  <si>
    <t>Sports</t>
  </si>
  <si>
    <t>Music</t>
  </si>
  <si>
    <t>Volunteering</t>
  </si>
  <si>
    <t>GPA</t>
  </si>
  <si>
    <t>GradeClass</t>
  </si>
  <si>
    <t xml:space="preserve">Students Name </t>
  </si>
  <si>
    <t>Marks</t>
  </si>
  <si>
    <t>Total</t>
  </si>
  <si>
    <t>Subjects</t>
  </si>
  <si>
    <t xml:space="preserve">Study Time Weekly </t>
  </si>
  <si>
    <t xml:space="preserve">Average Presence </t>
  </si>
  <si>
    <t xml:space="preserve">Average Monthly </t>
  </si>
  <si>
    <t xml:space="preserve">Average Absences </t>
  </si>
  <si>
    <t xml:space="preserve">Absences </t>
  </si>
  <si>
    <t>Stength and Weakness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</si>
</sst>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 (Body)"/>
    </font>
    <font>
      <sz val="11"/>
      <color theme="1"/>
      <name val="Calibri (Body)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8" tint="-0.249977111117893"/>
        <bgColor theme="4" tint="0.79998168889431442"/>
      </patternFill>
    </fill>
    <fill>
      <patternFill patternType="solid">
        <fgColor theme="8" tint="-0.249977111117893"/>
        <bgColor theme="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0" fontId="3" fillId="0" borderId="0" xfId="0" applyFont="1"/>
    <xf numFmtId="2" fontId="0" fillId="0" borderId="0" xfId="0" applyNumberFormat="1"/>
    <xf numFmtId="0" fontId="0" fillId="4" borderId="0" xfId="0" applyFill="1"/>
    <xf numFmtId="0" fontId="0" fillId="5" borderId="2" xfId="0" applyFill="1" applyBorder="1"/>
    <xf numFmtId="0" fontId="0" fillId="3" borderId="2" xfId="0" applyFill="1" applyBorder="1"/>
    <xf numFmtId="0" fontId="0" fillId="6" borderId="4" xfId="0" applyFill="1" applyBorder="1"/>
    <xf numFmtId="0" fontId="0" fillId="8" borderId="0" xfId="0" applyFill="1"/>
    <xf numFmtId="0" fontId="0" fillId="2" borderId="2" xfId="0" applyFill="1" applyBorder="1"/>
    <xf numFmtId="0" fontId="0" fillId="5" borderId="3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8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2" fontId="0" fillId="8" borderId="6" xfId="1" applyNumberFormat="1" applyFont="1" applyFill="1" applyBorder="1"/>
    <xf numFmtId="10" fontId="0" fillId="8" borderId="6" xfId="0" applyNumberFormat="1" applyFill="1" applyBorder="1"/>
    <xf numFmtId="0" fontId="0" fillId="8" borderId="8" xfId="0" applyFill="1" applyBorder="1"/>
    <xf numFmtId="0" fontId="0" fillId="2" borderId="4" xfId="0" applyFill="1" applyBorder="1"/>
    <xf numFmtId="0" fontId="0" fillId="8" borderId="5" xfId="0" applyFill="1" applyBorder="1"/>
    <xf numFmtId="0" fontId="0" fillId="8" borderId="3" xfId="1" applyNumberFormat="1" applyFont="1" applyFill="1" applyBorder="1"/>
    <xf numFmtId="0" fontId="0" fillId="8" borderId="5" xfId="1" applyNumberFormat="1" applyFont="1" applyFill="1" applyBorder="1"/>
    <xf numFmtId="0" fontId="5" fillId="7" borderId="7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6" fillId="2" borderId="7" xfId="0" applyFont="1" applyFill="1" applyBorder="1"/>
    <xf numFmtId="0" fontId="0" fillId="2" borderId="1" xfId="0" applyFill="1" applyBorder="1"/>
    <xf numFmtId="0" fontId="0" fillId="5" borderId="1" xfId="0" applyFill="1" applyBorder="1"/>
    <xf numFmtId="0" fontId="0" fillId="3" borderId="1" xfId="0" applyFill="1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FF9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501054187146294"/>
          <c:y val="3.87931166145522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'Final Report'!$B$11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8CA-034C-802E-C0BA345B7F39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A8CA-034C-802E-C0BA345B7F39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8CA-034C-802E-C0BA345B7F3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8CA-034C-802E-C0BA345B7F39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A8CA-034C-802E-C0BA345B7F39}"/>
              </c:ext>
            </c:extLst>
          </c:dPt>
          <c:dPt>
            <c:idx val="5"/>
            <c:invertIfNegative val="0"/>
            <c:bubble3D val="0"/>
            <c:spPr>
              <a:solidFill>
                <a:srgbClr val="FF9300"/>
              </a:solidFill>
              <a:ln>
                <a:solidFill>
                  <a:schemeClr val="accent2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8CA-034C-802E-C0BA345B7F39}"/>
              </c:ext>
            </c:extLst>
          </c:dPt>
          <c:cat>
            <c:strRef>
              <c:f>'Final Report'!$A$12:$A$17</c:f>
              <c:strCache>
                <c:ptCount val="6"/>
                <c:pt idx="0">
                  <c:v>Biology</c:v>
                </c:pt>
                <c:pt idx="1">
                  <c:v>Chemistry</c:v>
                </c:pt>
                <c:pt idx="2">
                  <c:v>Mathematics</c:v>
                </c:pt>
                <c:pt idx="3">
                  <c:v>Philosophy</c:v>
                </c:pt>
                <c:pt idx="4">
                  <c:v>Physics</c:v>
                </c:pt>
                <c:pt idx="5">
                  <c:v>Sociology</c:v>
                </c:pt>
              </c:strCache>
            </c:strRef>
          </c:cat>
          <c:val>
            <c:numRef>
              <c:f>'Final Report'!$B$12:$B$17</c:f>
              <c:numCache>
                <c:formatCode>General</c:formatCode>
                <c:ptCount val="6"/>
                <c:pt idx="0">
                  <c:v>31</c:v>
                </c:pt>
                <c:pt idx="1">
                  <c:v>52</c:v>
                </c:pt>
                <c:pt idx="2">
                  <c:v>48</c:v>
                </c:pt>
                <c:pt idx="3">
                  <c:v>35</c:v>
                </c:pt>
                <c:pt idx="4">
                  <c:v>69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CA-034C-802E-C0BA345B7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260571712"/>
        <c:axId val="1720483136"/>
      </c:barChart>
      <c:catAx>
        <c:axId val="1260571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483136"/>
        <c:crosses val="autoZero"/>
        <c:auto val="1"/>
        <c:lblAlgn val="ctr"/>
        <c:lblOffset val="100"/>
        <c:noMultiLvlLbl val="0"/>
      </c:catAx>
      <c:valAx>
        <c:axId val="172048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57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Attendance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'Final Report'!$A$22:$A$23</c:f>
              <c:strCache>
                <c:ptCount val="2"/>
                <c:pt idx="0">
                  <c:v>Average Presence </c:v>
                </c:pt>
                <c:pt idx="1">
                  <c:v>Average Absences </c:v>
                </c:pt>
              </c:strCache>
            </c:strRef>
          </c:cat>
          <c:val>
            <c:numRef>
              <c:f>'Final Report'!$B$22:$B$23</c:f>
              <c:numCache>
                <c:formatCode>General</c:formatCode>
                <c:ptCount val="2"/>
                <c:pt idx="0">
                  <c:v>76.666666666666671</c:v>
                </c:pt>
                <c:pt idx="1">
                  <c:v>23.333333333333332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E-6E47-8D42-34A039BFE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43958208"/>
        <c:axId val="1647794752"/>
      </c:barChart>
      <c:catAx>
        <c:axId val="1643958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794752"/>
        <c:crosses val="autoZero"/>
        <c:auto val="1"/>
        <c:lblAlgn val="ctr"/>
        <c:lblOffset val="100"/>
        <c:noMultiLvlLbl val="0"/>
      </c:catAx>
      <c:valAx>
        <c:axId val="164779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95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Study</a:t>
            </a:r>
            <a:r>
              <a:rPr lang="en-GB" baseline="0"/>
              <a:t>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2F9-DF4A-81CD-89145389E76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2F9-DF4A-81CD-89145389E764}"/>
              </c:ext>
            </c:extLst>
          </c:dPt>
          <c:cat>
            <c:strRef>
              <c:f>'Final Report'!$A$26:$A$27</c:f>
              <c:strCache>
                <c:ptCount val="2"/>
                <c:pt idx="0">
                  <c:v>Study Time Weekly </c:v>
                </c:pt>
                <c:pt idx="1">
                  <c:v>Average Monthly </c:v>
                </c:pt>
              </c:strCache>
            </c:strRef>
          </c:cat>
          <c:val>
            <c:numRef>
              <c:f>'Final Report'!$B$26:$B$27</c:f>
              <c:numCache>
                <c:formatCode>General</c:formatCode>
                <c:ptCount val="2"/>
                <c:pt idx="0">
                  <c:v>19.833722807854699</c:v>
                </c:pt>
                <c:pt idx="1">
                  <c:v>79.334891231418794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2-AD4E-BE1A-14D421482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Strength /Weakness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Strength /Weakness</a:t>
          </a:r>
        </a:p>
      </cx:txPr>
    </cx:title>
    <cx:plotArea>
      <cx:plotAreaRegion>
        <cx:series layoutId="treemap" uniqueId="{DBD3DBF4-D229-3D4C-9029-F6A1FE93EF3A}">
          <cx:tx>
            <cx:txData>
              <cx:f>_xlchart.v1.1</cx:f>
              <cx:v>Stength and Weakness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5">
  <cs:axisTitle>
    <cs:lnRef idx="0"/>
    <cs:fillRef idx="0"/>
    <cs:effectRef idx="0"/>
    <cs:fontRef idx="minor">
      <a:schemeClr val="lt1">
        <a:lumMod val="95000"/>
      </a:schemeClr>
    </cs:fontRef>
    <cs:spPr>
      <a:solidFill>
        <a:schemeClr val="bg1">
          <a:lumMod val="65000"/>
        </a:schemeClr>
      </a:solidFill>
      <a:ln>
        <a:solidFill>
          <a:schemeClr val="tx1"/>
        </a:solidFill>
      </a:ln>
    </cs:spPr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491067</xdr:colOff>
      <xdr:row>1</xdr:row>
      <xdr:rowOff>110067</xdr:rowOff>
    </xdr:from>
    <xdr:to>
      <xdr:col>2</xdr:col>
      <xdr:colOff>550334</xdr:colOff>
      <xdr:row>4</xdr:row>
      <xdr:rowOff>67734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B717149-DBAE-1C44-70CC-1FC67CA000B0}"/>
            </a:ext>
          </a:extLst>
        </xdr:cNvPr>
        <xdr:cNvSpPr txBox="1"/>
      </xdr:nvSpPr>
      <xdr:spPr>
        <a:xfrm>
          <a:off x="491067" y="304800"/>
          <a:ext cx="2997200" cy="5418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3200"/>
            <a:t>  </a:t>
          </a:r>
          <a:r>
            <a:rPr lang="en-GB" sz="3200" baseline="0"/>
            <a:t> </a:t>
          </a:r>
          <a:r>
            <a:rPr lang="en-GB" sz="3200"/>
            <a:t>FINAL</a:t>
          </a:r>
          <a:r>
            <a:rPr lang="en-GB" sz="3200" baseline="0"/>
            <a:t> REPORT</a:t>
          </a:r>
        </a:p>
        <a:p>
          <a:endParaRPr lang="en-GB" sz="3200" baseline="0"/>
        </a:p>
        <a:p>
          <a:endParaRPr lang="en-GB" sz="3200" baseline="0"/>
        </a:p>
        <a:p>
          <a:endParaRPr lang="en-GB" sz="3200"/>
        </a:p>
      </xdr:txBody>
    </xdr:sp>
    <xdr:clientData/>
  </xdr:twoCellAnchor>
  <xdr:twoCellAnchor>
    <xdr:from>
      <xdr:col>3</xdr:col>
      <xdr:colOff>131230</xdr:colOff>
      <xdr:row>0</xdr:row>
      <xdr:rowOff>59268</xdr:rowOff>
    </xdr:from>
    <xdr:to>
      <xdr:col>5</xdr:col>
      <xdr:colOff>499532</xdr:colOff>
      <xdr:row>12</xdr:row>
      <xdr:rowOff>42333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2C3BF38-FAB3-581D-DF75-0A397F305A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118534</xdr:colOff>
      <xdr:row>12</xdr:row>
      <xdr:rowOff>143933</xdr:rowOff>
    </xdr:from>
    <xdr:to>
      <xdr:col>5</xdr:col>
      <xdr:colOff>499533</xdr:colOff>
      <xdr:row>24</xdr:row>
      <xdr:rowOff>169333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3DB12F4-676F-FDDE-3635-F735048788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635000</xdr:colOff>
      <xdr:row>0</xdr:row>
      <xdr:rowOff>59267</xdr:rowOff>
    </xdr:from>
    <xdr:to>
      <xdr:col>9</xdr:col>
      <xdr:colOff>694267</xdr:colOff>
      <xdr:row>12</xdr:row>
      <xdr:rowOff>25400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38EEB1B5-C555-5AAE-3274-7DF4AC5ECF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626533</xdr:colOff>
      <xdr:row>12</xdr:row>
      <xdr:rowOff>114299</xdr:rowOff>
    </xdr:from>
    <xdr:to>
      <xdr:col>9</xdr:col>
      <xdr:colOff>702734</xdr:colOff>
      <xdr:row>24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882B9B8-B900-BF61-7FB5-9CA6D83030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13133" y="2459566"/>
              <a:ext cx="4123268" cy="24003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64BC-DB21-45D0-B0D6-D3202CDB2BA8}">
  <dimension ref="A1:F39"/>
  <sheetViews>
    <sheetView zoomScaleNormal="100" workbookViewId="0">
      <selection activeCell="B1" sqref="B1:B1048576"/>
    </sheetView>
  </sheetViews>
  <sheetFormatPr baseColWidth="10" defaultColWidth="8.83203125" defaultRowHeight="15" x14ac:dyDescent="0.2"/>
  <cols>
    <col min="2" max="2" width="21" customWidth="1"/>
    <col min="3" max="3" width="11.6640625" customWidth="1"/>
    <col min="4" max="4" width="14.6640625" customWidth="1"/>
    <col min="5" max="5" width="11.33203125" customWidth="1"/>
  </cols>
  <sheetData>
    <row r="1" spans="1:6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">
      <c r="A2">
        <v>1001</v>
      </c>
      <c r="B2" t="s">
        <v>6</v>
      </c>
      <c r="C2" t="s">
        <v>7</v>
      </c>
      <c r="D2" t="s">
        <v>8</v>
      </c>
      <c r="E2" s="3">
        <v>31</v>
      </c>
      <c r="F2">
        <f>IF(E2&gt;=60,1,0)</f>
        <v>0</v>
      </c>
    </row>
    <row r="3" spans="1:6" x14ac:dyDescent="0.2">
      <c r="A3">
        <v>1002</v>
      </c>
      <c r="B3" t="s">
        <v>9</v>
      </c>
      <c r="C3" t="s">
        <v>7</v>
      </c>
      <c r="D3" t="s">
        <v>8</v>
      </c>
      <c r="E3" s="3">
        <v>43</v>
      </c>
      <c r="F3">
        <f t="shared" ref="F3:F39" si="0">IF(E3&gt;=60,1,0)</f>
        <v>0</v>
      </c>
    </row>
    <row r="4" spans="1:6" x14ac:dyDescent="0.2">
      <c r="A4">
        <v>1003</v>
      </c>
      <c r="B4" t="s">
        <v>10</v>
      </c>
      <c r="C4" t="s">
        <v>7</v>
      </c>
      <c r="D4" t="s">
        <v>8</v>
      </c>
      <c r="E4" s="3">
        <v>81</v>
      </c>
      <c r="F4">
        <f t="shared" si="0"/>
        <v>1</v>
      </c>
    </row>
    <row r="5" spans="1:6" x14ac:dyDescent="0.2">
      <c r="A5">
        <v>1004</v>
      </c>
      <c r="B5" t="s">
        <v>11</v>
      </c>
      <c r="C5" t="s">
        <v>7</v>
      </c>
      <c r="D5" t="s">
        <v>8</v>
      </c>
      <c r="E5" s="3">
        <v>11</v>
      </c>
      <c r="F5">
        <f t="shared" si="0"/>
        <v>0</v>
      </c>
    </row>
    <row r="6" spans="1:6" x14ac:dyDescent="0.2">
      <c r="A6">
        <v>1005</v>
      </c>
      <c r="B6" t="s">
        <v>12</v>
      </c>
      <c r="C6" t="s">
        <v>7</v>
      </c>
      <c r="D6" t="s">
        <v>8</v>
      </c>
      <c r="E6" s="3">
        <v>18</v>
      </c>
      <c r="F6">
        <f t="shared" si="0"/>
        <v>0</v>
      </c>
    </row>
    <row r="7" spans="1:6" x14ac:dyDescent="0.2">
      <c r="A7">
        <v>1006</v>
      </c>
      <c r="B7" t="s">
        <v>13</v>
      </c>
      <c r="C7" t="s">
        <v>7</v>
      </c>
      <c r="D7" t="s">
        <v>8</v>
      </c>
      <c r="E7" s="3">
        <v>55</v>
      </c>
      <c r="F7">
        <f t="shared" si="0"/>
        <v>0</v>
      </c>
    </row>
    <row r="8" spans="1:6" x14ac:dyDescent="0.2">
      <c r="A8">
        <v>1007</v>
      </c>
      <c r="B8" t="s">
        <v>14</v>
      </c>
      <c r="C8" t="s">
        <v>7</v>
      </c>
      <c r="D8" t="s">
        <v>8</v>
      </c>
      <c r="E8" s="3">
        <v>38</v>
      </c>
      <c r="F8">
        <f t="shared" si="0"/>
        <v>0</v>
      </c>
    </row>
    <row r="9" spans="1:6" x14ac:dyDescent="0.2">
      <c r="A9">
        <v>1008</v>
      </c>
      <c r="B9" t="s">
        <v>15</v>
      </c>
      <c r="C9" t="s">
        <v>7</v>
      </c>
      <c r="D9" t="s">
        <v>8</v>
      </c>
      <c r="E9" s="3">
        <v>16</v>
      </c>
      <c r="F9">
        <f t="shared" si="0"/>
        <v>0</v>
      </c>
    </row>
    <row r="10" spans="1:6" x14ac:dyDescent="0.2">
      <c r="A10">
        <v>1009</v>
      </c>
      <c r="B10" t="s">
        <v>16</v>
      </c>
      <c r="C10" t="s">
        <v>7</v>
      </c>
      <c r="D10" t="s">
        <v>8</v>
      </c>
      <c r="E10" s="3">
        <v>73</v>
      </c>
      <c r="F10">
        <f t="shared" si="0"/>
        <v>1</v>
      </c>
    </row>
    <row r="11" spans="1:6" x14ac:dyDescent="0.2">
      <c r="A11">
        <v>1010</v>
      </c>
      <c r="B11" t="s">
        <v>17</v>
      </c>
      <c r="C11" t="s">
        <v>7</v>
      </c>
      <c r="D11" t="s">
        <v>8</v>
      </c>
      <c r="E11" s="3">
        <v>16</v>
      </c>
      <c r="F11">
        <f t="shared" si="0"/>
        <v>0</v>
      </c>
    </row>
    <row r="12" spans="1:6" x14ac:dyDescent="0.2">
      <c r="A12">
        <v>1011</v>
      </c>
      <c r="B12" t="s">
        <v>18</v>
      </c>
      <c r="C12" t="s">
        <v>7</v>
      </c>
      <c r="D12" t="s">
        <v>8</v>
      </c>
      <c r="E12" s="3">
        <v>23</v>
      </c>
      <c r="F12">
        <f t="shared" si="0"/>
        <v>0</v>
      </c>
    </row>
    <row r="13" spans="1:6" x14ac:dyDescent="0.2">
      <c r="A13">
        <v>1012</v>
      </c>
      <c r="B13" t="s">
        <v>19</v>
      </c>
      <c r="C13" t="s">
        <v>7</v>
      </c>
      <c r="D13" t="s">
        <v>8</v>
      </c>
      <c r="E13" s="3">
        <v>55</v>
      </c>
      <c r="F13">
        <f t="shared" si="0"/>
        <v>0</v>
      </c>
    </row>
    <row r="14" spans="1:6" x14ac:dyDescent="0.2">
      <c r="A14">
        <v>1013</v>
      </c>
      <c r="B14" t="s">
        <v>20</v>
      </c>
      <c r="C14" t="s">
        <v>7</v>
      </c>
      <c r="D14" t="s">
        <v>8</v>
      </c>
      <c r="E14" s="3">
        <v>71</v>
      </c>
      <c r="F14">
        <f t="shared" si="0"/>
        <v>1</v>
      </c>
    </row>
    <row r="15" spans="1:6" x14ac:dyDescent="0.2">
      <c r="A15">
        <v>1014</v>
      </c>
      <c r="B15" t="s">
        <v>21</v>
      </c>
      <c r="C15" s="4" t="s">
        <v>7</v>
      </c>
      <c r="D15" t="s">
        <v>8</v>
      </c>
      <c r="E15" s="3">
        <v>12</v>
      </c>
      <c r="F15">
        <f t="shared" si="0"/>
        <v>0</v>
      </c>
    </row>
    <row r="16" spans="1:6" x14ac:dyDescent="0.2">
      <c r="A16">
        <v>1015</v>
      </c>
      <c r="B16" t="s">
        <v>22</v>
      </c>
      <c r="C16" t="s">
        <v>7</v>
      </c>
      <c r="D16" t="s">
        <v>8</v>
      </c>
      <c r="E16" s="3">
        <v>77</v>
      </c>
      <c r="F16">
        <f t="shared" si="0"/>
        <v>1</v>
      </c>
    </row>
    <row r="17" spans="1:6" x14ac:dyDescent="0.2">
      <c r="A17">
        <v>1016</v>
      </c>
      <c r="B17" t="s">
        <v>23</v>
      </c>
      <c r="C17" t="s">
        <v>7</v>
      </c>
      <c r="D17" t="s">
        <v>8</v>
      </c>
      <c r="E17" s="3">
        <v>19</v>
      </c>
      <c r="F17">
        <f t="shared" si="0"/>
        <v>0</v>
      </c>
    </row>
    <row r="18" spans="1:6" x14ac:dyDescent="0.2">
      <c r="A18">
        <v>1017</v>
      </c>
      <c r="B18" t="s">
        <v>24</v>
      </c>
      <c r="C18" t="s">
        <v>7</v>
      </c>
      <c r="D18" t="s">
        <v>8</v>
      </c>
      <c r="E18" s="3">
        <v>57</v>
      </c>
      <c r="F18">
        <f t="shared" si="0"/>
        <v>0</v>
      </c>
    </row>
    <row r="19" spans="1:6" x14ac:dyDescent="0.2">
      <c r="A19">
        <v>1018</v>
      </c>
      <c r="B19" t="s">
        <v>25</v>
      </c>
      <c r="C19" t="s">
        <v>7</v>
      </c>
      <c r="D19" t="s">
        <v>8</v>
      </c>
      <c r="E19" s="3">
        <v>78</v>
      </c>
      <c r="F19">
        <f t="shared" si="0"/>
        <v>1</v>
      </c>
    </row>
    <row r="20" spans="1:6" x14ac:dyDescent="0.2">
      <c r="A20">
        <v>1019</v>
      </c>
      <c r="B20" t="s">
        <v>26</v>
      </c>
      <c r="C20" t="s">
        <v>7</v>
      </c>
      <c r="D20" t="s">
        <v>8</v>
      </c>
      <c r="E20" s="3">
        <v>92</v>
      </c>
      <c r="F20">
        <f t="shared" si="0"/>
        <v>1</v>
      </c>
    </row>
    <row r="21" spans="1:6" x14ac:dyDescent="0.2">
      <c r="A21">
        <v>1020</v>
      </c>
      <c r="B21" t="s">
        <v>27</v>
      </c>
      <c r="C21" t="s">
        <v>7</v>
      </c>
      <c r="D21" t="s">
        <v>8</v>
      </c>
      <c r="E21" s="3">
        <v>23</v>
      </c>
      <c r="F21">
        <f t="shared" si="0"/>
        <v>0</v>
      </c>
    </row>
    <row r="22" spans="1:6" x14ac:dyDescent="0.2">
      <c r="A22">
        <v>1021</v>
      </c>
      <c r="B22" t="s">
        <v>28</v>
      </c>
      <c r="C22" t="s">
        <v>7</v>
      </c>
      <c r="D22" t="s">
        <v>8</v>
      </c>
      <c r="E22" s="3">
        <v>62</v>
      </c>
      <c r="F22">
        <f t="shared" si="0"/>
        <v>1</v>
      </c>
    </row>
    <row r="23" spans="1:6" x14ac:dyDescent="0.2">
      <c r="A23">
        <v>1022</v>
      </c>
      <c r="B23" t="s">
        <v>29</v>
      </c>
      <c r="C23" t="s">
        <v>7</v>
      </c>
      <c r="D23" t="s">
        <v>8</v>
      </c>
      <c r="E23" s="3">
        <v>1</v>
      </c>
      <c r="F23">
        <f t="shared" si="0"/>
        <v>0</v>
      </c>
    </row>
    <row r="24" spans="1:6" x14ac:dyDescent="0.2">
      <c r="A24">
        <v>1023</v>
      </c>
      <c r="B24" t="s">
        <v>30</v>
      </c>
      <c r="C24" t="s">
        <v>7</v>
      </c>
      <c r="D24" t="s">
        <v>8</v>
      </c>
      <c r="E24" s="3">
        <v>100</v>
      </c>
      <c r="F24">
        <f t="shared" si="0"/>
        <v>1</v>
      </c>
    </row>
    <row r="25" spans="1:6" x14ac:dyDescent="0.2">
      <c r="A25">
        <v>1024</v>
      </c>
      <c r="B25" t="s">
        <v>31</v>
      </c>
      <c r="C25" t="s">
        <v>7</v>
      </c>
      <c r="D25" t="s">
        <v>8</v>
      </c>
      <c r="E25" s="3">
        <v>49</v>
      </c>
      <c r="F25">
        <f t="shared" si="0"/>
        <v>0</v>
      </c>
    </row>
    <row r="26" spans="1:6" x14ac:dyDescent="0.2">
      <c r="A26">
        <v>1025</v>
      </c>
      <c r="B26" t="s">
        <v>32</v>
      </c>
      <c r="C26" t="s">
        <v>7</v>
      </c>
      <c r="D26" t="s">
        <v>8</v>
      </c>
      <c r="E26" s="3">
        <v>41</v>
      </c>
      <c r="F26">
        <f t="shared" si="0"/>
        <v>0</v>
      </c>
    </row>
    <row r="27" spans="1:6" x14ac:dyDescent="0.2">
      <c r="A27">
        <v>1026</v>
      </c>
      <c r="B27" t="s">
        <v>33</v>
      </c>
      <c r="C27" t="s">
        <v>7</v>
      </c>
      <c r="D27" t="s">
        <v>8</v>
      </c>
      <c r="E27" s="3">
        <v>47</v>
      </c>
      <c r="F27">
        <f t="shared" si="0"/>
        <v>0</v>
      </c>
    </row>
    <row r="28" spans="1:6" x14ac:dyDescent="0.2">
      <c r="A28">
        <v>1027</v>
      </c>
      <c r="B28" t="s">
        <v>34</v>
      </c>
      <c r="C28" t="s">
        <v>7</v>
      </c>
      <c r="D28" t="s">
        <v>8</v>
      </c>
      <c r="E28" s="3">
        <v>24</v>
      </c>
      <c r="F28">
        <f t="shared" si="0"/>
        <v>0</v>
      </c>
    </row>
    <row r="29" spans="1:6" x14ac:dyDescent="0.2">
      <c r="A29">
        <v>1028</v>
      </c>
      <c r="B29" t="s">
        <v>35</v>
      </c>
      <c r="C29" t="s">
        <v>7</v>
      </c>
      <c r="D29" t="s">
        <v>8</v>
      </c>
      <c r="E29" s="3">
        <v>33</v>
      </c>
      <c r="F29">
        <f t="shared" si="0"/>
        <v>0</v>
      </c>
    </row>
    <row r="30" spans="1:6" x14ac:dyDescent="0.2">
      <c r="A30">
        <v>1029</v>
      </c>
      <c r="B30" t="s">
        <v>36</v>
      </c>
      <c r="C30" t="s">
        <v>7</v>
      </c>
      <c r="D30" t="s">
        <v>8</v>
      </c>
      <c r="E30" s="3">
        <v>45</v>
      </c>
      <c r="F30">
        <f t="shared" si="0"/>
        <v>0</v>
      </c>
    </row>
    <row r="31" spans="1:6" x14ac:dyDescent="0.2">
      <c r="A31">
        <v>1030</v>
      </c>
      <c r="B31" t="s">
        <v>37</v>
      </c>
      <c r="C31" t="s">
        <v>7</v>
      </c>
      <c r="D31" t="s">
        <v>8</v>
      </c>
      <c r="E31" s="3">
        <v>41</v>
      </c>
      <c r="F31">
        <f t="shared" si="0"/>
        <v>0</v>
      </c>
    </row>
    <row r="32" spans="1:6" x14ac:dyDescent="0.2">
      <c r="A32">
        <v>1031</v>
      </c>
      <c r="B32" t="s">
        <v>38</v>
      </c>
      <c r="C32" t="s">
        <v>7</v>
      </c>
      <c r="D32" t="s">
        <v>8</v>
      </c>
      <c r="E32" s="3">
        <v>78</v>
      </c>
      <c r="F32">
        <f t="shared" si="0"/>
        <v>1</v>
      </c>
    </row>
    <row r="33" spans="1:6" x14ac:dyDescent="0.2">
      <c r="A33">
        <v>1032</v>
      </c>
      <c r="B33" t="s">
        <v>39</v>
      </c>
      <c r="C33" t="s">
        <v>7</v>
      </c>
      <c r="D33" t="s">
        <v>8</v>
      </c>
      <c r="E33" s="3">
        <v>25</v>
      </c>
      <c r="F33">
        <f t="shared" si="0"/>
        <v>0</v>
      </c>
    </row>
    <row r="34" spans="1:6" x14ac:dyDescent="0.2">
      <c r="A34">
        <v>1033</v>
      </c>
      <c r="B34" t="s">
        <v>40</v>
      </c>
      <c r="C34" t="s">
        <v>7</v>
      </c>
      <c r="D34" t="s">
        <v>8</v>
      </c>
      <c r="E34" s="3">
        <v>44</v>
      </c>
      <c r="F34">
        <f t="shared" si="0"/>
        <v>0</v>
      </c>
    </row>
    <row r="35" spans="1:6" x14ac:dyDescent="0.2">
      <c r="A35">
        <v>1034</v>
      </c>
      <c r="B35" t="s">
        <v>41</v>
      </c>
      <c r="C35" t="s">
        <v>7</v>
      </c>
      <c r="D35" t="s">
        <v>8</v>
      </c>
      <c r="E35" s="3">
        <v>86</v>
      </c>
      <c r="F35">
        <f t="shared" si="0"/>
        <v>1</v>
      </c>
    </row>
    <row r="36" spans="1:6" x14ac:dyDescent="0.2">
      <c r="A36">
        <v>1035</v>
      </c>
      <c r="B36" t="s">
        <v>42</v>
      </c>
      <c r="C36" t="s">
        <v>7</v>
      </c>
      <c r="D36" t="s">
        <v>8</v>
      </c>
      <c r="E36" s="3">
        <v>97</v>
      </c>
      <c r="F36">
        <f t="shared" si="0"/>
        <v>1</v>
      </c>
    </row>
    <row r="37" spans="1:6" x14ac:dyDescent="0.2">
      <c r="A37">
        <v>1036</v>
      </c>
      <c r="B37" t="s">
        <v>43</v>
      </c>
      <c r="C37" t="s">
        <v>7</v>
      </c>
      <c r="D37" t="s">
        <v>8</v>
      </c>
      <c r="E37" s="3">
        <v>35</v>
      </c>
      <c r="F37">
        <f t="shared" si="0"/>
        <v>0</v>
      </c>
    </row>
    <row r="38" spans="1:6" x14ac:dyDescent="0.2">
      <c r="A38">
        <v>1037</v>
      </c>
      <c r="B38" t="s">
        <v>44</v>
      </c>
      <c r="C38" t="s">
        <v>7</v>
      </c>
      <c r="D38" t="s">
        <v>8</v>
      </c>
      <c r="E38" s="3">
        <v>75</v>
      </c>
      <c r="F38">
        <f t="shared" si="0"/>
        <v>1</v>
      </c>
    </row>
    <row r="39" spans="1:6" x14ac:dyDescent="0.2">
      <c r="A39">
        <v>1038</v>
      </c>
      <c r="B39" t="s">
        <v>45</v>
      </c>
      <c r="C39" t="s">
        <v>7</v>
      </c>
      <c r="D39" t="s">
        <v>8</v>
      </c>
      <c r="E39" s="3">
        <v>48</v>
      </c>
      <c r="F39">
        <f t="shared" si="0"/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A5C5E-7E4E-4202-843B-3372A88CC9B4}">
  <dimension ref="A1:F28"/>
  <sheetViews>
    <sheetView workbookViewId="0">
      <selection activeCell="H22" sqref="H22"/>
    </sheetView>
  </sheetViews>
  <sheetFormatPr baseColWidth="10" defaultColWidth="8.83203125" defaultRowHeight="15" x14ac:dyDescent="0.2"/>
  <cols>
    <col min="2" max="2" width="18.33203125" customWidth="1"/>
    <col min="3" max="3" width="13.83203125" customWidth="1"/>
    <col min="4" max="4" width="15" customWidth="1"/>
  </cols>
  <sheetData>
    <row r="1" spans="1:6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">
      <c r="A2">
        <v>1001</v>
      </c>
      <c r="B2" t="s">
        <v>6</v>
      </c>
      <c r="C2" t="s">
        <v>46</v>
      </c>
      <c r="D2" t="s">
        <v>47</v>
      </c>
      <c r="E2" s="3">
        <v>52</v>
      </c>
      <c r="F2">
        <f>IF(E2&gt;=60,1,0)</f>
        <v>0</v>
      </c>
    </row>
    <row r="3" spans="1:6" x14ac:dyDescent="0.2">
      <c r="A3">
        <v>1002</v>
      </c>
      <c r="B3" t="s">
        <v>9</v>
      </c>
      <c r="C3" t="s">
        <v>46</v>
      </c>
      <c r="D3" t="s">
        <v>47</v>
      </c>
      <c r="E3" s="3">
        <v>20</v>
      </c>
      <c r="F3">
        <f t="shared" ref="F3:F28" si="0">IF(E3&gt;=60,1,0)</f>
        <v>0</v>
      </c>
    </row>
    <row r="4" spans="1:6" x14ac:dyDescent="0.2">
      <c r="A4">
        <v>1003</v>
      </c>
      <c r="B4" t="s">
        <v>10</v>
      </c>
      <c r="C4" t="s">
        <v>46</v>
      </c>
      <c r="D4" t="s">
        <v>47</v>
      </c>
      <c r="E4" s="3">
        <v>32</v>
      </c>
      <c r="F4">
        <f t="shared" si="0"/>
        <v>0</v>
      </c>
    </row>
    <row r="5" spans="1:6" x14ac:dyDescent="0.2">
      <c r="A5">
        <v>1004</v>
      </c>
      <c r="B5" t="s">
        <v>11</v>
      </c>
      <c r="C5" t="s">
        <v>46</v>
      </c>
      <c r="D5" t="s">
        <v>47</v>
      </c>
      <c r="E5" s="3">
        <v>19</v>
      </c>
      <c r="F5">
        <f t="shared" si="0"/>
        <v>0</v>
      </c>
    </row>
    <row r="6" spans="1:6" x14ac:dyDescent="0.2">
      <c r="A6">
        <v>1005</v>
      </c>
      <c r="B6" t="s">
        <v>12</v>
      </c>
      <c r="C6" t="s">
        <v>46</v>
      </c>
      <c r="D6" t="s">
        <v>47</v>
      </c>
      <c r="E6" s="3">
        <v>61</v>
      </c>
      <c r="F6">
        <f t="shared" si="0"/>
        <v>1</v>
      </c>
    </row>
    <row r="7" spans="1:6" x14ac:dyDescent="0.2">
      <c r="A7">
        <v>1006</v>
      </c>
      <c r="B7" t="s">
        <v>13</v>
      </c>
      <c r="C7" t="s">
        <v>46</v>
      </c>
      <c r="D7" t="s">
        <v>47</v>
      </c>
      <c r="E7" s="3">
        <v>34</v>
      </c>
      <c r="F7">
        <f t="shared" si="0"/>
        <v>0</v>
      </c>
    </row>
    <row r="8" spans="1:6" x14ac:dyDescent="0.2">
      <c r="A8">
        <v>1007</v>
      </c>
      <c r="B8" t="s">
        <v>14</v>
      </c>
      <c r="C8" t="s">
        <v>46</v>
      </c>
      <c r="D8" t="s">
        <v>47</v>
      </c>
      <c r="E8" s="3">
        <v>9</v>
      </c>
      <c r="F8">
        <f t="shared" si="0"/>
        <v>0</v>
      </c>
    </row>
    <row r="9" spans="1:6" x14ac:dyDescent="0.2">
      <c r="A9">
        <v>1008</v>
      </c>
      <c r="B9" t="s">
        <v>15</v>
      </c>
      <c r="C9" t="s">
        <v>46</v>
      </c>
      <c r="D9" t="s">
        <v>47</v>
      </c>
      <c r="E9" s="3">
        <v>22</v>
      </c>
      <c r="F9">
        <f t="shared" si="0"/>
        <v>0</v>
      </c>
    </row>
    <row r="10" spans="1:6" x14ac:dyDescent="0.2">
      <c r="A10">
        <v>1009</v>
      </c>
      <c r="B10" t="s">
        <v>16</v>
      </c>
      <c r="C10" t="s">
        <v>46</v>
      </c>
      <c r="D10" t="s">
        <v>47</v>
      </c>
      <c r="E10" s="3">
        <v>46</v>
      </c>
      <c r="F10">
        <f t="shared" si="0"/>
        <v>0</v>
      </c>
    </row>
    <row r="11" spans="1:6" x14ac:dyDescent="0.2">
      <c r="A11">
        <v>1010</v>
      </c>
      <c r="B11" t="s">
        <v>17</v>
      </c>
      <c r="C11" t="s">
        <v>46</v>
      </c>
      <c r="D11" t="s">
        <v>47</v>
      </c>
      <c r="E11" s="3">
        <v>100</v>
      </c>
      <c r="F11">
        <f t="shared" si="0"/>
        <v>1</v>
      </c>
    </row>
    <row r="12" spans="1:6" x14ac:dyDescent="0.2">
      <c r="A12">
        <v>1011</v>
      </c>
      <c r="B12" t="s">
        <v>18</v>
      </c>
      <c r="C12" t="s">
        <v>46</v>
      </c>
      <c r="D12" t="s">
        <v>47</v>
      </c>
      <c r="E12" s="3">
        <v>92</v>
      </c>
      <c r="F12">
        <f t="shared" si="0"/>
        <v>1</v>
      </c>
    </row>
    <row r="13" spans="1:6" x14ac:dyDescent="0.2">
      <c r="A13">
        <v>1012</v>
      </c>
      <c r="B13" t="s">
        <v>19</v>
      </c>
      <c r="C13" t="s">
        <v>46</v>
      </c>
      <c r="D13" t="s">
        <v>47</v>
      </c>
      <c r="E13" s="3">
        <v>1</v>
      </c>
      <c r="F13">
        <f t="shared" si="0"/>
        <v>0</v>
      </c>
    </row>
    <row r="14" spans="1:6" x14ac:dyDescent="0.2">
      <c r="A14">
        <v>1013</v>
      </c>
      <c r="B14" t="s">
        <v>20</v>
      </c>
      <c r="C14" t="s">
        <v>46</v>
      </c>
      <c r="D14" t="s">
        <v>47</v>
      </c>
      <c r="E14" s="3">
        <v>84</v>
      </c>
      <c r="F14">
        <f t="shared" si="0"/>
        <v>1</v>
      </c>
    </row>
    <row r="15" spans="1:6" x14ac:dyDescent="0.2">
      <c r="A15">
        <v>1014</v>
      </c>
      <c r="B15" t="s">
        <v>21</v>
      </c>
      <c r="C15" t="s">
        <v>46</v>
      </c>
      <c r="D15" t="s">
        <v>47</v>
      </c>
      <c r="E15" s="3">
        <v>63</v>
      </c>
      <c r="F15">
        <f t="shared" si="0"/>
        <v>1</v>
      </c>
    </row>
    <row r="16" spans="1:6" x14ac:dyDescent="0.2">
      <c r="A16">
        <v>1015</v>
      </c>
      <c r="B16" t="s">
        <v>22</v>
      </c>
      <c r="C16" t="s">
        <v>46</v>
      </c>
      <c r="D16" t="s">
        <v>47</v>
      </c>
      <c r="E16" s="3">
        <v>59</v>
      </c>
      <c r="F16">
        <f t="shared" si="0"/>
        <v>0</v>
      </c>
    </row>
    <row r="17" spans="1:6" x14ac:dyDescent="0.2">
      <c r="A17">
        <v>1016</v>
      </c>
      <c r="B17" t="s">
        <v>23</v>
      </c>
      <c r="C17" t="s">
        <v>46</v>
      </c>
      <c r="D17" t="s">
        <v>47</v>
      </c>
      <c r="E17" s="3">
        <v>61</v>
      </c>
      <c r="F17">
        <f t="shared" si="0"/>
        <v>1</v>
      </c>
    </row>
    <row r="18" spans="1:6" x14ac:dyDescent="0.2">
      <c r="A18">
        <v>1017</v>
      </c>
      <c r="B18" t="s">
        <v>24</v>
      </c>
      <c r="C18" t="s">
        <v>46</v>
      </c>
      <c r="D18" t="s">
        <v>47</v>
      </c>
      <c r="E18" s="3">
        <v>47</v>
      </c>
      <c r="F18">
        <f t="shared" si="0"/>
        <v>0</v>
      </c>
    </row>
    <row r="19" spans="1:6" x14ac:dyDescent="0.2">
      <c r="A19">
        <v>1018</v>
      </c>
      <c r="B19" t="s">
        <v>25</v>
      </c>
      <c r="C19" t="s">
        <v>46</v>
      </c>
      <c r="D19" t="s">
        <v>47</v>
      </c>
      <c r="E19" s="3">
        <v>27</v>
      </c>
      <c r="F19">
        <f t="shared" si="0"/>
        <v>0</v>
      </c>
    </row>
    <row r="20" spans="1:6" x14ac:dyDescent="0.2">
      <c r="A20">
        <v>1019</v>
      </c>
      <c r="B20" t="s">
        <v>26</v>
      </c>
      <c r="C20" t="s">
        <v>46</v>
      </c>
      <c r="D20" t="s">
        <v>47</v>
      </c>
      <c r="E20" s="3">
        <v>99</v>
      </c>
      <c r="F20">
        <f t="shared" si="0"/>
        <v>1</v>
      </c>
    </row>
    <row r="21" spans="1:6" x14ac:dyDescent="0.2">
      <c r="A21">
        <v>1020</v>
      </c>
      <c r="B21" t="s">
        <v>27</v>
      </c>
      <c r="C21" t="s">
        <v>46</v>
      </c>
      <c r="D21" t="s">
        <v>47</v>
      </c>
      <c r="E21" s="3">
        <v>84</v>
      </c>
      <c r="F21">
        <f t="shared" si="0"/>
        <v>1</v>
      </c>
    </row>
    <row r="22" spans="1:6" x14ac:dyDescent="0.2">
      <c r="A22">
        <v>1021</v>
      </c>
      <c r="B22" t="s">
        <v>28</v>
      </c>
      <c r="C22" t="s">
        <v>46</v>
      </c>
      <c r="D22" t="s">
        <v>47</v>
      </c>
      <c r="E22" s="3">
        <v>95</v>
      </c>
      <c r="F22">
        <f t="shared" si="0"/>
        <v>1</v>
      </c>
    </row>
    <row r="23" spans="1:6" x14ac:dyDescent="0.2">
      <c r="A23">
        <v>1022</v>
      </c>
      <c r="B23" t="s">
        <v>29</v>
      </c>
      <c r="C23" t="s">
        <v>46</v>
      </c>
      <c r="D23" t="s">
        <v>47</v>
      </c>
      <c r="E23" s="3">
        <v>50</v>
      </c>
      <c r="F23">
        <f t="shared" si="0"/>
        <v>0</v>
      </c>
    </row>
    <row r="24" spans="1:6" x14ac:dyDescent="0.2">
      <c r="A24">
        <v>1023</v>
      </c>
      <c r="B24" t="s">
        <v>30</v>
      </c>
      <c r="C24" t="s">
        <v>46</v>
      </c>
      <c r="D24" t="s">
        <v>47</v>
      </c>
      <c r="E24" s="3">
        <v>27</v>
      </c>
      <c r="F24">
        <f t="shared" si="0"/>
        <v>0</v>
      </c>
    </row>
    <row r="25" spans="1:6" x14ac:dyDescent="0.2">
      <c r="A25">
        <v>1024</v>
      </c>
      <c r="B25" t="s">
        <v>31</v>
      </c>
      <c r="C25" t="s">
        <v>46</v>
      </c>
      <c r="D25" t="s">
        <v>47</v>
      </c>
      <c r="E25" s="3">
        <v>39</v>
      </c>
      <c r="F25">
        <f t="shared" si="0"/>
        <v>0</v>
      </c>
    </row>
    <row r="26" spans="1:6" x14ac:dyDescent="0.2">
      <c r="A26">
        <v>1025</v>
      </c>
      <c r="B26" t="s">
        <v>32</v>
      </c>
      <c r="C26" t="s">
        <v>46</v>
      </c>
      <c r="D26" t="s">
        <v>47</v>
      </c>
      <c r="E26" s="3">
        <v>71</v>
      </c>
      <c r="F26">
        <f t="shared" si="0"/>
        <v>1</v>
      </c>
    </row>
    <row r="27" spans="1:6" x14ac:dyDescent="0.2">
      <c r="A27">
        <v>1026</v>
      </c>
      <c r="B27" t="s">
        <v>33</v>
      </c>
      <c r="C27" t="s">
        <v>46</v>
      </c>
      <c r="D27" t="s">
        <v>47</v>
      </c>
      <c r="E27" s="3">
        <v>83</v>
      </c>
      <c r="F27">
        <f t="shared" si="0"/>
        <v>1</v>
      </c>
    </row>
    <row r="28" spans="1:6" x14ac:dyDescent="0.2">
      <c r="A28">
        <v>1027</v>
      </c>
      <c r="B28" t="s">
        <v>34</v>
      </c>
      <c r="C28" t="s">
        <v>46</v>
      </c>
      <c r="D28" t="s">
        <v>47</v>
      </c>
      <c r="E28" s="3">
        <v>38</v>
      </c>
      <c r="F28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C77BF-BA4A-4BAA-BD22-9359768BF970}">
  <dimension ref="A1:F38"/>
  <sheetViews>
    <sheetView workbookViewId="0">
      <selection activeCell="C2" sqref="C2"/>
    </sheetView>
  </sheetViews>
  <sheetFormatPr baseColWidth="10" defaultColWidth="8.83203125" defaultRowHeight="15" x14ac:dyDescent="0.2"/>
  <cols>
    <col min="2" max="2" width="14.33203125" customWidth="1"/>
    <col min="3" max="3" width="15" customWidth="1"/>
    <col min="4" max="4" width="13.83203125" customWidth="1"/>
    <col min="5" max="5" width="11.1640625" customWidth="1"/>
  </cols>
  <sheetData>
    <row r="1" spans="1:6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">
      <c r="A2">
        <v>1001</v>
      </c>
      <c r="B2" t="s">
        <v>6</v>
      </c>
      <c r="C2" t="s">
        <v>48</v>
      </c>
      <c r="D2" t="s">
        <v>49</v>
      </c>
      <c r="E2" s="3">
        <v>48</v>
      </c>
      <c r="F2">
        <f>IF(E2&gt;=60,1,0)</f>
        <v>0</v>
      </c>
    </row>
    <row r="3" spans="1:6" x14ac:dyDescent="0.2">
      <c r="A3">
        <v>1002</v>
      </c>
      <c r="B3" t="s">
        <v>9</v>
      </c>
      <c r="C3" t="s">
        <v>48</v>
      </c>
      <c r="D3" t="s">
        <v>49</v>
      </c>
      <c r="E3" s="3">
        <v>5</v>
      </c>
      <c r="F3">
        <f t="shared" ref="F3:F38" si="0">IF(E3&gt;=60,1,0)</f>
        <v>0</v>
      </c>
    </row>
    <row r="4" spans="1:6" x14ac:dyDescent="0.2">
      <c r="A4">
        <v>1003</v>
      </c>
      <c r="B4" t="s">
        <v>10</v>
      </c>
      <c r="C4" t="s">
        <v>48</v>
      </c>
      <c r="D4" t="s">
        <v>49</v>
      </c>
      <c r="E4" s="3">
        <v>7</v>
      </c>
      <c r="F4">
        <f t="shared" si="0"/>
        <v>0</v>
      </c>
    </row>
    <row r="5" spans="1:6" x14ac:dyDescent="0.2">
      <c r="A5">
        <v>1004</v>
      </c>
      <c r="B5" t="s">
        <v>11</v>
      </c>
      <c r="C5" t="s">
        <v>48</v>
      </c>
      <c r="D5" t="s">
        <v>49</v>
      </c>
      <c r="E5" s="3">
        <v>70</v>
      </c>
      <c r="F5">
        <f t="shared" si="0"/>
        <v>1</v>
      </c>
    </row>
    <row r="6" spans="1:6" x14ac:dyDescent="0.2">
      <c r="A6">
        <v>1005</v>
      </c>
      <c r="B6" t="s">
        <v>12</v>
      </c>
      <c r="C6" t="s">
        <v>48</v>
      </c>
      <c r="D6" t="s">
        <v>49</v>
      </c>
      <c r="E6" s="3">
        <v>73</v>
      </c>
      <c r="F6">
        <f t="shared" si="0"/>
        <v>1</v>
      </c>
    </row>
    <row r="7" spans="1:6" x14ac:dyDescent="0.2">
      <c r="A7">
        <v>1006</v>
      </c>
      <c r="B7" t="s">
        <v>13</v>
      </c>
      <c r="C7" t="s">
        <v>48</v>
      </c>
      <c r="D7" t="s">
        <v>49</v>
      </c>
      <c r="E7" s="3">
        <v>59</v>
      </c>
      <c r="F7">
        <f t="shared" si="0"/>
        <v>0</v>
      </c>
    </row>
    <row r="8" spans="1:6" x14ac:dyDescent="0.2">
      <c r="A8">
        <v>1007</v>
      </c>
      <c r="B8" t="s">
        <v>14</v>
      </c>
      <c r="C8" t="s">
        <v>48</v>
      </c>
      <c r="D8" t="s">
        <v>49</v>
      </c>
      <c r="E8" s="3">
        <v>23</v>
      </c>
      <c r="F8">
        <f t="shared" si="0"/>
        <v>0</v>
      </c>
    </row>
    <row r="9" spans="1:6" x14ac:dyDescent="0.2">
      <c r="A9">
        <v>1008</v>
      </c>
      <c r="B9" t="s">
        <v>15</v>
      </c>
      <c r="C9" t="s">
        <v>48</v>
      </c>
      <c r="D9" t="s">
        <v>49</v>
      </c>
      <c r="E9" s="3">
        <v>72</v>
      </c>
      <c r="F9">
        <f t="shared" si="0"/>
        <v>1</v>
      </c>
    </row>
    <row r="10" spans="1:6" x14ac:dyDescent="0.2">
      <c r="A10">
        <v>1009</v>
      </c>
      <c r="B10" t="s">
        <v>16</v>
      </c>
      <c r="C10" t="s">
        <v>48</v>
      </c>
      <c r="D10" t="s">
        <v>49</v>
      </c>
      <c r="E10" s="3">
        <v>31</v>
      </c>
      <c r="F10">
        <f t="shared" si="0"/>
        <v>0</v>
      </c>
    </row>
    <row r="11" spans="1:6" x14ac:dyDescent="0.2">
      <c r="A11">
        <v>1010</v>
      </c>
      <c r="B11" t="s">
        <v>17</v>
      </c>
      <c r="C11" t="s">
        <v>48</v>
      </c>
      <c r="D11" t="s">
        <v>49</v>
      </c>
      <c r="E11" s="3">
        <v>74</v>
      </c>
      <c r="F11">
        <f t="shared" si="0"/>
        <v>1</v>
      </c>
    </row>
    <row r="12" spans="1:6" x14ac:dyDescent="0.2">
      <c r="A12">
        <v>1011</v>
      </c>
      <c r="B12" t="s">
        <v>18</v>
      </c>
      <c r="C12" t="s">
        <v>48</v>
      </c>
      <c r="D12" t="s">
        <v>49</v>
      </c>
      <c r="E12" s="3">
        <v>91</v>
      </c>
      <c r="F12">
        <f t="shared" si="0"/>
        <v>1</v>
      </c>
    </row>
    <row r="13" spans="1:6" x14ac:dyDescent="0.2">
      <c r="A13">
        <v>1012</v>
      </c>
      <c r="B13" t="s">
        <v>19</v>
      </c>
      <c r="C13" t="s">
        <v>48</v>
      </c>
      <c r="D13" t="s">
        <v>49</v>
      </c>
      <c r="E13" s="3">
        <v>53</v>
      </c>
      <c r="F13">
        <f t="shared" si="0"/>
        <v>0</v>
      </c>
    </row>
    <row r="14" spans="1:6" x14ac:dyDescent="0.2">
      <c r="A14">
        <v>1013</v>
      </c>
      <c r="B14" t="s">
        <v>20</v>
      </c>
      <c r="C14" t="s">
        <v>48</v>
      </c>
      <c r="D14" t="s">
        <v>49</v>
      </c>
      <c r="E14" s="3">
        <v>56</v>
      </c>
      <c r="F14">
        <f t="shared" si="0"/>
        <v>0</v>
      </c>
    </row>
    <row r="15" spans="1:6" x14ac:dyDescent="0.2">
      <c r="A15">
        <v>1014</v>
      </c>
      <c r="B15" t="s">
        <v>21</v>
      </c>
      <c r="C15" t="s">
        <v>48</v>
      </c>
      <c r="D15" t="s">
        <v>49</v>
      </c>
      <c r="E15" s="3">
        <v>53</v>
      </c>
      <c r="F15">
        <f t="shared" si="0"/>
        <v>0</v>
      </c>
    </row>
    <row r="16" spans="1:6" x14ac:dyDescent="0.2">
      <c r="A16">
        <v>1015</v>
      </c>
      <c r="B16" t="s">
        <v>22</v>
      </c>
      <c r="C16" t="s">
        <v>48</v>
      </c>
      <c r="D16" t="s">
        <v>49</v>
      </c>
      <c r="E16" s="3">
        <v>100</v>
      </c>
      <c r="F16">
        <f t="shared" si="0"/>
        <v>1</v>
      </c>
    </row>
    <row r="17" spans="1:6" x14ac:dyDescent="0.2">
      <c r="A17">
        <v>1016</v>
      </c>
      <c r="B17" t="s">
        <v>23</v>
      </c>
      <c r="C17" t="s">
        <v>48</v>
      </c>
      <c r="D17" t="s">
        <v>49</v>
      </c>
      <c r="E17" s="3">
        <v>50</v>
      </c>
      <c r="F17">
        <f t="shared" si="0"/>
        <v>0</v>
      </c>
    </row>
    <row r="18" spans="1:6" x14ac:dyDescent="0.2">
      <c r="A18">
        <v>1017</v>
      </c>
      <c r="B18" t="s">
        <v>24</v>
      </c>
      <c r="C18" t="s">
        <v>48</v>
      </c>
      <c r="D18" t="s">
        <v>49</v>
      </c>
      <c r="E18" s="3">
        <v>60</v>
      </c>
      <c r="F18">
        <f t="shared" si="0"/>
        <v>1</v>
      </c>
    </row>
    <row r="19" spans="1:6" x14ac:dyDescent="0.2">
      <c r="A19">
        <v>1018</v>
      </c>
      <c r="B19" t="s">
        <v>25</v>
      </c>
      <c r="C19" t="s">
        <v>48</v>
      </c>
      <c r="D19" t="s">
        <v>49</v>
      </c>
      <c r="E19" s="3">
        <v>38</v>
      </c>
      <c r="F19">
        <f t="shared" si="0"/>
        <v>0</v>
      </c>
    </row>
    <row r="20" spans="1:6" x14ac:dyDescent="0.2">
      <c r="A20">
        <v>1019</v>
      </c>
      <c r="B20" t="s">
        <v>26</v>
      </c>
      <c r="C20" t="s">
        <v>48</v>
      </c>
      <c r="D20" t="s">
        <v>49</v>
      </c>
      <c r="E20" s="3">
        <v>33</v>
      </c>
      <c r="F20">
        <f t="shared" si="0"/>
        <v>0</v>
      </c>
    </row>
    <row r="21" spans="1:6" x14ac:dyDescent="0.2">
      <c r="A21">
        <v>1020</v>
      </c>
      <c r="B21" t="s">
        <v>27</v>
      </c>
      <c r="C21" t="s">
        <v>48</v>
      </c>
      <c r="D21" t="s">
        <v>49</v>
      </c>
      <c r="E21" s="3">
        <v>75</v>
      </c>
      <c r="F21">
        <f t="shared" si="0"/>
        <v>1</v>
      </c>
    </row>
    <row r="22" spans="1:6" x14ac:dyDescent="0.2">
      <c r="A22">
        <v>1021</v>
      </c>
      <c r="B22" t="s">
        <v>28</v>
      </c>
      <c r="C22" t="s">
        <v>48</v>
      </c>
      <c r="D22" t="s">
        <v>49</v>
      </c>
      <c r="E22" s="3">
        <v>74</v>
      </c>
      <c r="F22">
        <f t="shared" si="0"/>
        <v>1</v>
      </c>
    </row>
    <row r="23" spans="1:6" x14ac:dyDescent="0.2">
      <c r="A23">
        <v>1022</v>
      </c>
      <c r="B23" t="s">
        <v>29</v>
      </c>
      <c r="C23" t="s">
        <v>48</v>
      </c>
      <c r="D23" t="s">
        <v>49</v>
      </c>
      <c r="E23" s="3">
        <v>7</v>
      </c>
      <c r="F23">
        <f t="shared" si="0"/>
        <v>0</v>
      </c>
    </row>
    <row r="24" spans="1:6" x14ac:dyDescent="0.2">
      <c r="A24">
        <v>1023</v>
      </c>
      <c r="B24" t="s">
        <v>30</v>
      </c>
      <c r="C24" t="s">
        <v>48</v>
      </c>
      <c r="D24" t="s">
        <v>49</v>
      </c>
      <c r="E24" s="3">
        <v>6</v>
      </c>
      <c r="F24">
        <f t="shared" si="0"/>
        <v>0</v>
      </c>
    </row>
    <row r="25" spans="1:6" x14ac:dyDescent="0.2">
      <c r="A25">
        <v>1024</v>
      </c>
      <c r="B25" t="s">
        <v>31</v>
      </c>
      <c r="C25" t="s">
        <v>48</v>
      </c>
      <c r="D25" t="s">
        <v>49</v>
      </c>
      <c r="E25" s="3">
        <v>40</v>
      </c>
      <c r="F25">
        <f t="shared" si="0"/>
        <v>0</v>
      </c>
    </row>
    <row r="26" spans="1:6" x14ac:dyDescent="0.2">
      <c r="A26">
        <v>1025</v>
      </c>
      <c r="B26" t="s">
        <v>32</v>
      </c>
      <c r="C26" t="s">
        <v>48</v>
      </c>
      <c r="D26" t="s">
        <v>49</v>
      </c>
      <c r="E26" s="3">
        <v>14</v>
      </c>
      <c r="F26">
        <f t="shared" si="0"/>
        <v>0</v>
      </c>
    </row>
    <row r="27" spans="1:6" x14ac:dyDescent="0.2">
      <c r="A27">
        <v>1026</v>
      </c>
      <c r="B27" t="s">
        <v>33</v>
      </c>
      <c r="C27" t="s">
        <v>48</v>
      </c>
      <c r="D27" t="s">
        <v>49</v>
      </c>
      <c r="E27" s="3">
        <v>16</v>
      </c>
      <c r="F27">
        <f t="shared" si="0"/>
        <v>0</v>
      </c>
    </row>
    <row r="28" spans="1:6" x14ac:dyDescent="0.2">
      <c r="A28">
        <v>1027</v>
      </c>
      <c r="B28" t="s">
        <v>34</v>
      </c>
      <c r="C28" t="s">
        <v>48</v>
      </c>
      <c r="D28" t="s">
        <v>49</v>
      </c>
      <c r="E28" s="3">
        <v>31</v>
      </c>
      <c r="F28">
        <f t="shared" si="0"/>
        <v>0</v>
      </c>
    </row>
    <row r="29" spans="1:6" x14ac:dyDescent="0.2">
      <c r="A29">
        <v>1028</v>
      </c>
      <c r="B29" t="s">
        <v>35</v>
      </c>
      <c r="C29" t="s">
        <v>48</v>
      </c>
      <c r="D29" t="s">
        <v>49</v>
      </c>
      <c r="E29" s="3">
        <v>72</v>
      </c>
      <c r="F29">
        <f t="shared" si="0"/>
        <v>1</v>
      </c>
    </row>
    <row r="30" spans="1:6" x14ac:dyDescent="0.2">
      <c r="A30">
        <v>1029</v>
      </c>
      <c r="B30" t="s">
        <v>36</v>
      </c>
      <c r="C30" t="s">
        <v>48</v>
      </c>
      <c r="D30" t="s">
        <v>49</v>
      </c>
      <c r="E30" s="3">
        <v>48</v>
      </c>
      <c r="F30">
        <f t="shared" si="0"/>
        <v>0</v>
      </c>
    </row>
    <row r="31" spans="1:6" x14ac:dyDescent="0.2">
      <c r="A31">
        <v>1030</v>
      </c>
      <c r="B31" t="s">
        <v>37</v>
      </c>
      <c r="C31" t="s">
        <v>48</v>
      </c>
      <c r="D31" t="s">
        <v>49</v>
      </c>
      <c r="E31" s="3">
        <v>53</v>
      </c>
      <c r="F31">
        <f t="shared" si="0"/>
        <v>0</v>
      </c>
    </row>
    <row r="32" spans="1:6" x14ac:dyDescent="0.2">
      <c r="A32">
        <v>1031</v>
      </c>
      <c r="B32" t="s">
        <v>38</v>
      </c>
      <c r="C32" t="s">
        <v>48</v>
      </c>
      <c r="D32" t="s">
        <v>49</v>
      </c>
      <c r="E32" s="3">
        <v>67</v>
      </c>
      <c r="F32">
        <f t="shared" si="0"/>
        <v>1</v>
      </c>
    </row>
    <row r="33" spans="1:6" x14ac:dyDescent="0.2">
      <c r="A33">
        <v>1032</v>
      </c>
      <c r="B33" t="s">
        <v>39</v>
      </c>
      <c r="C33" t="s">
        <v>48</v>
      </c>
      <c r="D33" t="s">
        <v>49</v>
      </c>
      <c r="E33" s="3">
        <v>23</v>
      </c>
      <c r="F33">
        <f t="shared" si="0"/>
        <v>0</v>
      </c>
    </row>
    <row r="34" spans="1:6" x14ac:dyDescent="0.2">
      <c r="A34">
        <v>1033</v>
      </c>
      <c r="B34" t="s">
        <v>40</v>
      </c>
      <c r="C34" t="s">
        <v>48</v>
      </c>
      <c r="D34" t="s">
        <v>49</v>
      </c>
      <c r="E34" s="3">
        <v>90</v>
      </c>
      <c r="F34">
        <f t="shared" si="0"/>
        <v>1</v>
      </c>
    </row>
    <row r="35" spans="1:6" x14ac:dyDescent="0.2">
      <c r="A35">
        <v>1034</v>
      </c>
      <c r="B35" t="s">
        <v>41</v>
      </c>
      <c r="C35" t="s">
        <v>48</v>
      </c>
      <c r="D35" t="s">
        <v>49</v>
      </c>
      <c r="E35" s="3">
        <v>87</v>
      </c>
      <c r="F35">
        <f t="shared" si="0"/>
        <v>1</v>
      </c>
    </row>
    <row r="36" spans="1:6" x14ac:dyDescent="0.2">
      <c r="A36">
        <v>1035</v>
      </c>
      <c r="B36" t="s">
        <v>42</v>
      </c>
      <c r="C36" t="s">
        <v>48</v>
      </c>
      <c r="D36" t="s">
        <v>49</v>
      </c>
      <c r="E36" s="3">
        <v>40</v>
      </c>
      <c r="F36">
        <f t="shared" si="0"/>
        <v>0</v>
      </c>
    </row>
    <row r="37" spans="1:6" x14ac:dyDescent="0.2">
      <c r="A37">
        <v>1036</v>
      </c>
      <c r="B37" t="s">
        <v>43</v>
      </c>
      <c r="C37" t="s">
        <v>48</v>
      </c>
      <c r="D37" t="s">
        <v>49</v>
      </c>
      <c r="E37" s="3">
        <v>26</v>
      </c>
      <c r="F37">
        <f t="shared" si="0"/>
        <v>0</v>
      </c>
    </row>
    <row r="38" spans="1:6" x14ac:dyDescent="0.2">
      <c r="A38">
        <v>1037</v>
      </c>
      <c r="B38" t="s">
        <v>44</v>
      </c>
      <c r="C38" t="s">
        <v>48</v>
      </c>
      <c r="D38" t="s">
        <v>49</v>
      </c>
      <c r="E38" s="3">
        <v>51</v>
      </c>
      <c r="F38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BAA32-5843-4589-B601-632689CECE57}">
  <dimension ref="A1:F39"/>
  <sheetViews>
    <sheetView topLeftCell="A7" workbookViewId="0">
      <selection activeCell="C2" sqref="C2"/>
    </sheetView>
  </sheetViews>
  <sheetFormatPr baseColWidth="10" defaultColWidth="8.83203125" defaultRowHeight="15" x14ac:dyDescent="0.2"/>
  <cols>
    <col min="2" max="2" width="17.83203125" customWidth="1"/>
    <col min="3" max="3" width="15.6640625" customWidth="1"/>
    <col min="4" max="4" width="17.6640625" customWidth="1"/>
    <col min="5" max="5" width="16" customWidth="1"/>
  </cols>
  <sheetData>
    <row r="1" spans="1:6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">
      <c r="A2">
        <v>1001</v>
      </c>
      <c r="B2" t="s">
        <v>6</v>
      </c>
      <c r="C2" t="s">
        <v>50</v>
      </c>
      <c r="D2" t="s">
        <v>51</v>
      </c>
      <c r="E2" s="3">
        <v>35</v>
      </c>
      <c r="F2">
        <f>IF(E2&gt;=60,1,0)</f>
        <v>0</v>
      </c>
    </row>
    <row r="3" spans="1:6" x14ac:dyDescent="0.2">
      <c r="A3">
        <v>1002</v>
      </c>
      <c r="B3" t="s">
        <v>9</v>
      </c>
      <c r="C3" t="s">
        <v>50</v>
      </c>
      <c r="D3" t="s">
        <v>51</v>
      </c>
      <c r="E3" s="3">
        <v>66</v>
      </c>
      <c r="F3">
        <f t="shared" ref="F3:F39" si="0">IF(E3&gt;=60,1,0)</f>
        <v>1</v>
      </c>
    </row>
    <row r="4" spans="1:6" x14ac:dyDescent="0.2">
      <c r="A4">
        <v>1003</v>
      </c>
      <c r="B4" t="s">
        <v>10</v>
      </c>
      <c r="C4" t="s">
        <v>50</v>
      </c>
      <c r="D4" t="s">
        <v>51</v>
      </c>
      <c r="E4" s="3">
        <v>29</v>
      </c>
      <c r="F4">
        <f t="shared" si="0"/>
        <v>0</v>
      </c>
    </row>
    <row r="5" spans="1:6" x14ac:dyDescent="0.2">
      <c r="A5">
        <v>1004</v>
      </c>
      <c r="B5" t="s">
        <v>11</v>
      </c>
      <c r="C5" t="s">
        <v>50</v>
      </c>
      <c r="D5" t="s">
        <v>51</v>
      </c>
      <c r="E5" s="3">
        <v>91</v>
      </c>
      <c r="F5">
        <f t="shared" si="0"/>
        <v>1</v>
      </c>
    </row>
    <row r="6" spans="1:6" x14ac:dyDescent="0.2">
      <c r="A6">
        <v>1005</v>
      </c>
      <c r="B6" t="s">
        <v>12</v>
      </c>
      <c r="C6" t="s">
        <v>50</v>
      </c>
      <c r="D6" t="s">
        <v>51</v>
      </c>
      <c r="E6" s="3">
        <v>63</v>
      </c>
      <c r="F6">
        <f t="shared" si="0"/>
        <v>1</v>
      </c>
    </row>
    <row r="7" spans="1:6" x14ac:dyDescent="0.2">
      <c r="A7">
        <v>1006</v>
      </c>
      <c r="B7" t="s">
        <v>13</v>
      </c>
      <c r="C7" t="s">
        <v>50</v>
      </c>
      <c r="D7" t="s">
        <v>51</v>
      </c>
      <c r="E7" s="3">
        <v>16</v>
      </c>
      <c r="F7">
        <f t="shared" si="0"/>
        <v>0</v>
      </c>
    </row>
    <row r="8" spans="1:6" x14ac:dyDescent="0.2">
      <c r="A8">
        <v>1007</v>
      </c>
      <c r="B8" t="s">
        <v>14</v>
      </c>
      <c r="C8" t="s">
        <v>50</v>
      </c>
      <c r="D8" t="s">
        <v>51</v>
      </c>
      <c r="E8" s="3">
        <v>10</v>
      </c>
      <c r="F8">
        <f t="shared" si="0"/>
        <v>0</v>
      </c>
    </row>
    <row r="9" spans="1:6" x14ac:dyDescent="0.2">
      <c r="A9">
        <v>1008</v>
      </c>
      <c r="B9" t="s">
        <v>15</v>
      </c>
      <c r="C9" t="s">
        <v>50</v>
      </c>
      <c r="D9" t="s">
        <v>51</v>
      </c>
      <c r="E9" s="3">
        <v>23</v>
      </c>
      <c r="F9">
        <f t="shared" si="0"/>
        <v>0</v>
      </c>
    </row>
    <row r="10" spans="1:6" x14ac:dyDescent="0.2">
      <c r="A10">
        <v>1009</v>
      </c>
      <c r="B10" t="s">
        <v>16</v>
      </c>
      <c r="C10" t="s">
        <v>50</v>
      </c>
      <c r="D10" t="s">
        <v>51</v>
      </c>
      <c r="E10" s="3">
        <v>72</v>
      </c>
      <c r="F10">
        <f t="shared" si="0"/>
        <v>1</v>
      </c>
    </row>
    <row r="11" spans="1:6" x14ac:dyDescent="0.2">
      <c r="A11">
        <v>1010</v>
      </c>
      <c r="B11" t="s">
        <v>17</v>
      </c>
      <c r="C11" t="s">
        <v>50</v>
      </c>
      <c r="D11" t="s">
        <v>51</v>
      </c>
      <c r="E11" s="3">
        <v>93</v>
      </c>
      <c r="F11">
        <f t="shared" si="0"/>
        <v>1</v>
      </c>
    </row>
    <row r="12" spans="1:6" x14ac:dyDescent="0.2">
      <c r="A12">
        <v>1011</v>
      </c>
      <c r="B12" t="s">
        <v>18</v>
      </c>
      <c r="C12" t="s">
        <v>50</v>
      </c>
      <c r="D12" t="s">
        <v>51</v>
      </c>
      <c r="E12" s="3">
        <v>10</v>
      </c>
      <c r="F12">
        <f t="shared" si="0"/>
        <v>0</v>
      </c>
    </row>
    <row r="13" spans="1:6" x14ac:dyDescent="0.2">
      <c r="A13">
        <v>1012</v>
      </c>
      <c r="B13" t="s">
        <v>19</v>
      </c>
      <c r="C13" t="s">
        <v>50</v>
      </c>
      <c r="D13" t="s">
        <v>51</v>
      </c>
      <c r="E13" s="3">
        <v>99</v>
      </c>
      <c r="F13">
        <f t="shared" si="0"/>
        <v>1</v>
      </c>
    </row>
    <row r="14" spans="1:6" x14ac:dyDescent="0.2">
      <c r="A14">
        <v>1013</v>
      </c>
      <c r="B14" t="s">
        <v>20</v>
      </c>
      <c r="C14" t="s">
        <v>50</v>
      </c>
      <c r="D14" t="s">
        <v>51</v>
      </c>
      <c r="E14" s="3">
        <v>78</v>
      </c>
      <c r="F14">
        <f t="shared" si="0"/>
        <v>1</v>
      </c>
    </row>
    <row r="15" spans="1:6" x14ac:dyDescent="0.2">
      <c r="A15">
        <v>1014</v>
      </c>
      <c r="B15" t="s">
        <v>21</v>
      </c>
      <c r="C15" t="s">
        <v>50</v>
      </c>
      <c r="D15" t="s">
        <v>51</v>
      </c>
      <c r="E15" s="3">
        <v>81</v>
      </c>
      <c r="F15">
        <f t="shared" si="0"/>
        <v>1</v>
      </c>
    </row>
    <row r="16" spans="1:6" x14ac:dyDescent="0.2">
      <c r="A16">
        <v>1015</v>
      </c>
      <c r="B16" t="s">
        <v>22</v>
      </c>
      <c r="C16" t="s">
        <v>50</v>
      </c>
      <c r="D16" t="s">
        <v>51</v>
      </c>
      <c r="E16" s="3">
        <v>40</v>
      </c>
      <c r="F16">
        <f t="shared" si="0"/>
        <v>0</v>
      </c>
    </row>
    <row r="17" spans="1:6" x14ac:dyDescent="0.2">
      <c r="A17">
        <v>1016</v>
      </c>
      <c r="B17" t="s">
        <v>23</v>
      </c>
      <c r="C17" t="s">
        <v>50</v>
      </c>
      <c r="D17" t="s">
        <v>51</v>
      </c>
      <c r="E17" s="3">
        <v>23</v>
      </c>
      <c r="F17">
        <f t="shared" si="0"/>
        <v>0</v>
      </c>
    </row>
    <row r="18" spans="1:6" x14ac:dyDescent="0.2">
      <c r="A18">
        <v>1017</v>
      </c>
      <c r="B18" t="s">
        <v>24</v>
      </c>
      <c r="C18" t="s">
        <v>50</v>
      </c>
      <c r="D18" t="s">
        <v>51</v>
      </c>
      <c r="E18" s="3">
        <v>65</v>
      </c>
      <c r="F18">
        <f t="shared" si="0"/>
        <v>1</v>
      </c>
    </row>
    <row r="19" spans="1:6" x14ac:dyDescent="0.2">
      <c r="A19">
        <v>1018</v>
      </c>
      <c r="B19" t="s">
        <v>25</v>
      </c>
      <c r="C19" t="s">
        <v>50</v>
      </c>
      <c r="D19" t="s">
        <v>51</v>
      </c>
      <c r="E19" s="3">
        <v>24</v>
      </c>
      <c r="F19">
        <f t="shared" si="0"/>
        <v>0</v>
      </c>
    </row>
    <row r="20" spans="1:6" x14ac:dyDescent="0.2">
      <c r="A20">
        <v>1019</v>
      </c>
      <c r="B20" t="s">
        <v>26</v>
      </c>
      <c r="C20" t="s">
        <v>50</v>
      </c>
      <c r="D20" t="s">
        <v>51</v>
      </c>
      <c r="E20" s="3">
        <v>62</v>
      </c>
      <c r="F20">
        <f t="shared" si="0"/>
        <v>1</v>
      </c>
    </row>
    <row r="21" spans="1:6" x14ac:dyDescent="0.2">
      <c r="A21">
        <v>1020</v>
      </c>
      <c r="B21" t="s">
        <v>27</v>
      </c>
      <c r="C21" t="s">
        <v>50</v>
      </c>
      <c r="D21" t="s">
        <v>51</v>
      </c>
      <c r="E21" s="3">
        <v>41</v>
      </c>
      <c r="F21">
        <f t="shared" si="0"/>
        <v>0</v>
      </c>
    </row>
    <row r="22" spans="1:6" x14ac:dyDescent="0.2">
      <c r="A22">
        <v>1021</v>
      </c>
      <c r="B22" t="s">
        <v>28</v>
      </c>
      <c r="C22" t="s">
        <v>50</v>
      </c>
      <c r="D22" t="s">
        <v>51</v>
      </c>
      <c r="E22" s="3">
        <v>42</v>
      </c>
      <c r="F22">
        <f t="shared" si="0"/>
        <v>0</v>
      </c>
    </row>
    <row r="23" spans="1:6" x14ac:dyDescent="0.2">
      <c r="A23">
        <v>1022</v>
      </c>
      <c r="B23" t="s">
        <v>29</v>
      </c>
      <c r="C23" t="s">
        <v>50</v>
      </c>
      <c r="D23" t="s">
        <v>51</v>
      </c>
      <c r="E23" s="3">
        <v>8</v>
      </c>
      <c r="F23">
        <f t="shared" si="0"/>
        <v>0</v>
      </c>
    </row>
    <row r="24" spans="1:6" x14ac:dyDescent="0.2">
      <c r="A24">
        <v>1023</v>
      </c>
      <c r="B24" t="s">
        <v>30</v>
      </c>
      <c r="C24" t="s">
        <v>50</v>
      </c>
      <c r="D24" t="s">
        <v>51</v>
      </c>
      <c r="E24" s="3">
        <v>91</v>
      </c>
      <c r="F24">
        <f t="shared" si="0"/>
        <v>1</v>
      </c>
    </row>
    <row r="25" spans="1:6" x14ac:dyDescent="0.2">
      <c r="A25">
        <v>1024</v>
      </c>
      <c r="B25" t="s">
        <v>31</v>
      </c>
      <c r="C25" t="s">
        <v>50</v>
      </c>
      <c r="D25" t="s">
        <v>51</v>
      </c>
      <c r="E25" s="3">
        <v>69</v>
      </c>
      <c r="F25">
        <f t="shared" si="0"/>
        <v>1</v>
      </c>
    </row>
    <row r="26" spans="1:6" x14ac:dyDescent="0.2">
      <c r="A26">
        <v>1025</v>
      </c>
      <c r="B26" t="s">
        <v>32</v>
      </c>
      <c r="C26" t="s">
        <v>50</v>
      </c>
      <c r="D26" t="s">
        <v>51</v>
      </c>
      <c r="E26" s="3">
        <v>47</v>
      </c>
      <c r="F26">
        <f t="shared" si="0"/>
        <v>0</v>
      </c>
    </row>
    <row r="27" spans="1:6" x14ac:dyDescent="0.2">
      <c r="A27">
        <v>1026</v>
      </c>
      <c r="B27" t="s">
        <v>33</v>
      </c>
      <c r="C27" t="s">
        <v>50</v>
      </c>
      <c r="D27" t="s">
        <v>51</v>
      </c>
      <c r="E27" s="3">
        <v>0</v>
      </c>
      <c r="F27">
        <f t="shared" si="0"/>
        <v>0</v>
      </c>
    </row>
    <row r="28" spans="1:6" x14ac:dyDescent="0.2">
      <c r="A28">
        <v>1027</v>
      </c>
      <c r="B28" t="s">
        <v>34</v>
      </c>
      <c r="C28" t="s">
        <v>50</v>
      </c>
      <c r="D28" t="s">
        <v>51</v>
      </c>
      <c r="E28" s="3">
        <v>42</v>
      </c>
      <c r="F28">
        <f t="shared" si="0"/>
        <v>0</v>
      </c>
    </row>
    <row r="29" spans="1:6" x14ac:dyDescent="0.2">
      <c r="A29">
        <v>1028</v>
      </c>
      <c r="B29" t="s">
        <v>35</v>
      </c>
      <c r="C29" t="s">
        <v>50</v>
      </c>
      <c r="D29" t="s">
        <v>51</v>
      </c>
      <c r="E29" s="3">
        <v>65</v>
      </c>
      <c r="F29">
        <f t="shared" si="0"/>
        <v>1</v>
      </c>
    </row>
    <row r="30" spans="1:6" x14ac:dyDescent="0.2">
      <c r="A30">
        <v>1029</v>
      </c>
      <c r="B30" t="s">
        <v>36</v>
      </c>
      <c r="C30" t="s">
        <v>50</v>
      </c>
      <c r="D30" t="s">
        <v>51</v>
      </c>
      <c r="E30" s="3">
        <v>42</v>
      </c>
      <c r="F30">
        <f t="shared" si="0"/>
        <v>0</v>
      </c>
    </row>
    <row r="31" spans="1:6" x14ac:dyDescent="0.2">
      <c r="A31">
        <v>1030</v>
      </c>
      <c r="B31" t="s">
        <v>37</v>
      </c>
      <c r="C31" t="s">
        <v>50</v>
      </c>
      <c r="D31" t="s">
        <v>51</v>
      </c>
      <c r="E31" s="3">
        <v>32</v>
      </c>
      <c r="F31">
        <f t="shared" si="0"/>
        <v>0</v>
      </c>
    </row>
    <row r="32" spans="1:6" x14ac:dyDescent="0.2">
      <c r="A32">
        <v>1031</v>
      </c>
      <c r="B32" t="s">
        <v>38</v>
      </c>
      <c r="C32" t="s">
        <v>50</v>
      </c>
      <c r="D32" t="s">
        <v>51</v>
      </c>
      <c r="E32" s="3">
        <v>33</v>
      </c>
      <c r="F32">
        <f t="shared" si="0"/>
        <v>0</v>
      </c>
    </row>
    <row r="33" spans="1:6" x14ac:dyDescent="0.2">
      <c r="A33">
        <v>1032</v>
      </c>
      <c r="B33" t="s">
        <v>39</v>
      </c>
      <c r="C33" t="s">
        <v>50</v>
      </c>
      <c r="D33" t="s">
        <v>51</v>
      </c>
      <c r="E33" s="3">
        <v>4</v>
      </c>
      <c r="F33">
        <f t="shared" si="0"/>
        <v>0</v>
      </c>
    </row>
    <row r="34" spans="1:6" x14ac:dyDescent="0.2">
      <c r="A34">
        <v>1033</v>
      </c>
      <c r="B34" t="s">
        <v>40</v>
      </c>
      <c r="C34" t="s">
        <v>50</v>
      </c>
      <c r="D34" t="s">
        <v>51</v>
      </c>
      <c r="E34" s="3">
        <v>27</v>
      </c>
      <c r="F34">
        <f t="shared" si="0"/>
        <v>0</v>
      </c>
    </row>
    <row r="35" spans="1:6" x14ac:dyDescent="0.2">
      <c r="A35">
        <v>1034</v>
      </c>
      <c r="B35" t="s">
        <v>41</v>
      </c>
      <c r="C35" t="s">
        <v>50</v>
      </c>
      <c r="D35" t="s">
        <v>51</v>
      </c>
      <c r="E35" s="3">
        <v>56</v>
      </c>
      <c r="F35">
        <f t="shared" si="0"/>
        <v>0</v>
      </c>
    </row>
    <row r="36" spans="1:6" x14ac:dyDescent="0.2">
      <c r="A36">
        <v>1035</v>
      </c>
      <c r="B36" t="s">
        <v>42</v>
      </c>
      <c r="C36" t="s">
        <v>50</v>
      </c>
      <c r="D36" t="s">
        <v>51</v>
      </c>
      <c r="E36" s="3">
        <v>36</v>
      </c>
      <c r="F36">
        <f t="shared" si="0"/>
        <v>0</v>
      </c>
    </row>
    <row r="37" spans="1:6" x14ac:dyDescent="0.2">
      <c r="A37">
        <v>1036</v>
      </c>
      <c r="B37" t="s">
        <v>43</v>
      </c>
      <c r="C37" t="s">
        <v>50</v>
      </c>
      <c r="D37" t="s">
        <v>51</v>
      </c>
      <c r="E37" s="3">
        <v>51</v>
      </c>
      <c r="F37">
        <f t="shared" si="0"/>
        <v>0</v>
      </c>
    </row>
    <row r="38" spans="1:6" x14ac:dyDescent="0.2">
      <c r="A38">
        <v>1037</v>
      </c>
      <c r="B38" t="s">
        <v>44</v>
      </c>
      <c r="C38" t="s">
        <v>50</v>
      </c>
      <c r="D38" t="s">
        <v>51</v>
      </c>
      <c r="E38" s="3">
        <v>71</v>
      </c>
      <c r="F38">
        <f t="shared" si="0"/>
        <v>1</v>
      </c>
    </row>
    <row r="39" spans="1:6" x14ac:dyDescent="0.2">
      <c r="A39">
        <v>1038</v>
      </c>
      <c r="B39" t="s">
        <v>45</v>
      </c>
      <c r="C39" t="s">
        <v>50</v>
      </c>
      <c r="D39" t="s">
        <v>51</v>
      </c>
      <c r="E39" s="3">
        <v>52</v>
      </c>
      <c r="F39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73227-D765-4D83-A9A0-B4FAF960D4E0}">
  <dimension ref="A1:F22"/>
  <sheetViews>
    <sheetView workbookViewId="0">
      <selection activeCell="L20" sqref="L20"/>
    </sheetView>
  </sheetViews>
  <sheetFormatPr baseColWidth="10" defaultColWidth="8.83203125" defaultRowHeight="15" x14ac:dyDescent="0.2"/>
  <cols>
    <col min="2" max="2" width="16.83203125" customWidth="1"/>
    <col min="3" max="3" width="15" customWidth="1"/>
    <col min="4" max="4" width="15.5" customWidth="1"/>
    <col min="5" max="5" width="13.1640625" customWidth="1"/>
  </cols>
  <sheetData>
    <row r="1" spans="1:6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">
      <c r="A2">
        <v>1001</v>
      </c>
      <c r="B2" t="s">
        <v>6</v>
      </c>
      <c r="C2" t="s">
        <v>52</v>
      </c>
      <c r="D2" t="s">
        <v>53</v>
      </c>
      <c r="E2" s="3">
        <v>69</v>
      </c>
      <c r="F2">
        <f>IF(E2&gt;=60,1,0)</f>
        <v>1</v>
      </c>
    </row>
    <row r="3" spans="1:6" x14ac:dyDescent="0.2">
      <c r="A3">
        <v>1002</v>
      </c>
      <c r="B3" t="s">
        <v>9</v>
      </c>
      <c r="C3" t="s">
        <v>52</v>
      </c>
      <c r="D3" t="s">
        <v>53</v>
      </c>
      <c r="E3" s="3">
        <v>95</v>
      </c>
      <c r="F3">
        <f t="shared" ref="F3:F22" si="0">IF(E3&gt;=60,1,0)</f>
        <v>1</v>
      </c>
    </row>
    <row r="4" spans="1:6" x14ac:dyDescent="0.2">
      <c r="A4">
        <v>1003</v>
      </c>
      <c r="B4" t="s">
        <v>10</v>
      </c>
      <c r="C4" t="s">
        <v>52</v>
      </c>
      <c r="D4" t="s">
        <v>53</v>
      </c>
      <c r="E4" s="3">
        <v>33</v>
      </c>
      <c r="F4">
        <f t="shared" si="0"/>
        <v>0</v>
      </c>
    </row>
    <row r="5" spans="1:6" x14ac:dyDescent="0.2">
      <c r="A5">
        <v>1004</v>
      </c>
      <c r="B5" t="s">
        <v>11</v>
      </c>
      <c r="C5" t="s">
        <v>52</v>
      </c>
      <c r="D5" t="s">
        <v>53</v>
      </c>
      <c r="E5" s="3">
        <v>76</v>
      </c>
      <c r="F5">
        <f t="shared" si="0"/>
        <v>1</v>
      </c>
    </row>
    <row r="6" spans="1:6" x14ac:dyDescent="0.2">
      <c r="A6">
        <v>1005</v>
      </c>
      <c r="B6" t="s">
        <v>12</v>
      </c>
      <c r="C6" t="s">
        <v>52</v>
      </c>
      <c r="D6" t="s">
        <v>53</v>
      </c>
      <c r="E6" s="3">
        <v>20</v>
      </c>
      <c r="F6">
        <f t="shared" si="0"/>
        <v>0</v>
      </c>
    </row>
    <row r="7" spans="1:6" x14ac:dyDescent="0.2">
      <c r="A7">
        <v>1006</v>
      </c>
      <c r="B7" t="s">
        <v>13</v>
      </c>
      <c r="C7" t="s">
        <v>52</v>
      </c>
      <c r="D7" t="s">
        <v>53</v>
      </c>
      <c r="E7" s="3">
        <v>10</v>
      </c>
      <c r="F7">
        <f t="shared" si="0"/>
        <v>0</v>
      </c>
    </row>
    <row r="8" spans="1:6" x14ac:dyDescent="0.2">
      <c r="A8">
        <v>1007</v>
      </c>
      <c r="B8" t="s">
        <v>14</v>
      </c>
      <c r="C8" t="s">
        <v>52</v>
      </c>
      <c r="D8" t="s">
        <v>53</v>
      </c>
      <c r="E8" s="3">
        <v>72</v>
      </c>
      <c r="F8">
        <f t="shared" si="0"/>
        <v>1</v>
      </c>
    </row>
    <row r="9" spans="1:6" x14ac:dyDescent="0.2">
      <c r="A9">
        <v>1008</v>
      </c>
      <c r="B9" t="s">
        <v>15</v>
      </c>
      <c r="C9" t="s">
        <v>52</v>
      </c>
      <c r="D9" t="s">
        <v>53</v>
      </c>
      <c r="E9" s="3">
        <v>80</v>
      </c>
      <c r="F9">
        <f t="shared" si="0"/>
        <v>1</v>
      </c>
    </row>
    <row r="10" spans="1:6" x14ac:dyDescent="0.2">
      <c r="A10">
        <v>1009</v>
      </c>
      <c r="B10" t="s">
        <v>16</v>
      </c>
      <c r="C10" t="s">
        <v>52</v>
      </c>
      <c r="D10" t="s">
        <v>53</v>
      </c>
      <c r="E10" s="3">
        <v>22</v>
      </c>
      <c r="F10">
        <f t="shared" si="0"/>
        <v>0</v>
      </c>
    </row>
    <row r="11" spans="1:6" x14ac:dyDescent="0.2">
      <c r="A11">
        <v>1010</v>
      </c>
      <c r="B11" t="s">
        <v>17</v>
      </c>
      <c r="C11" t="s">
        <v>52</v>
      </c>
      <c r="D11" t="s">
        <v>53</v>
      </c>
      <c r="E11" s="3">
        <v>8</v>
      </c>
      <c r="F11">
        <f t="shared" si="0"/>
        <v>0</v>
      </c>
    </row>
    <row r="12" spans="1:6" x14ac:dyDescent="0.2">
      <c r="A12">
        <v>1011</v>
      </c>
      <c r="B12" t="s">
        <v>18</v>
      </c>
      <c r="C12" t="s">
        <v>52</v>
      </c>
      <c r="D12" t="s">
        <v>53</v>
      </c>
      <c r="E12" s="3">
        <v>100</v>
      </c>
      <c r="F12">
        <f t="shared" si="0"/>
        <v>1</v>
      </c>
    </row>
    <row r="13" spans="1:6" x14ac:dyDescent="0.2">
      <c r="A13">
        <v>1012</v>
      </c>
      <c r="B13" t="s">
        <v>19</v>
      </c>
      <c r="C13" t="s">
        <v>52</v>
      </c>
      <c r="D13" t="s">
        <v>53</v>
      </c>
      <c r="E13" s="3">
        <v>49</v>
      </c>
      <c r="F13">
        <f t="shared" si="0"/>
        <v>0</v>
      </c>
    </row>
    <row r="14" spans="1:6" x14ac:dyDescent="0.2">
      <c r="A14">
        <v>1013</v>
      </c>
      <c r="B14" t="s">
        <v>20</v>
      </c>
      <c r="C14" t="s">
        <v>52</v>
      </c>
      <c r="D14" t="s">
        <v>53</v>
      </c>
      <c r="E14" s="3">
        <v>70</v>
      </c>
      <c r="F14">
        <f t="shared" si="0"/>
        <v>1</v>
      </c>
    </row>
    <row r="15" spans="1:6" x14ac:dyDescent="0.2">
      <c r="A15">
        <v>1014</v>
      </c>
      <c r="B15" t="s">
        <v>21</v>
      </c>
      <c r="C15" t="s">
        <v>52</v>
      </c>
      <c r="D15" t="s">
        <v>53</v>
      </c>
      <c r="E15" s="3">
        <v>86</v>
      </c>
      <c r="F15">
        <f t="shared" si="0"/>
        <v>1</v>
      </c>
    </row>
    <row r="16" spans="1:6" x14ac:dyDescent="0.2">
      <c r="A16">
        <v>1015</v>
      </c>
      <c r="B16" t="s">
        <v>22</v>
      </c>
      <c r="C16" t="s">
        <v>52</v>
      </c>
      <c r="D16" t="s">
        <v>53</v>
      </c>
      <c r="E16" s="3">
        <v>15</v>
      </c>
      <c r="F16">
        <f t="shared" si="0"/>
        <v>0</v>
      </c>
    </row>
    <row r="17" spans="1:6" x14ac:dyDescent="0.2">
      <c r="A17">
        <v>1016</v>
      </c>
      <c r="B17" t="s">
        <v>23</v>
      </c>
      <c r="C17" t="s">
        <v>52</v>
      </c>
      <c r="D17" t="s">
        <v>53</v>
      </c>
      <c r="E17" s="3">
        <v>95</v>
      </c>
      <c r="F17">
        <f t="shared" si="0"/>
        <v>1</v>
      </c>
    </row>
    <row r="18" spans="1:6" x14ac:dyDescent="0.2">
      <c r="A18">
        <v>1017</v>
      </c>
      <c r="B18" t="s">
        <v>24</v>
      </c>
      <c r="C18" t="s">
        <v>52</v>
      </c>
      <c r="D18" t="s">
        <v>53</v>
      </c>
      <c r="E18" s="3">
        <v>77</v>
      </c>
      <c r="F18">
        <f t="shared" si="0"/>
        <v>1</v>
      </c>
    </row>
    <row r="19" spans="1:6" x14ac:dyDescent="0.2">
      <c r="A19">
        <v>1018</v>
      </c>
      <c r="B19" t="s">
        <v>25</v>
      </c>
      <c r="C19" t="s">
        <v>52</v>
      </c>
      <c r="D19" t="s">
        <v>53</v>
      </c>
      <c r="E19" s="3">
        <v>20</v>
      </c>
      <c r="F19">
        <f t="shared" si="0"/>
        <v>0</v>
      </c>
    </row>
    <row r="20" spans="1:6" x14ac:dyDescent="0.2">
      <c r="A20">
        <v>1019</v>
      </c>
      <c r="B20" t="s">
        <v>26</v>
      </c>
      <c r="C20" t="s">
        <v>52</v>
      </c>
      <c r="D20" t="s">
        <v>53</v>
      </c>
      <c r="E20" s="3">
        <v>31</v>
      </c>
      <c r="F20">
        <f t="shared" si="0"/>
        <v>0</v>
      </c>
    </row>
    <row r="21" spans="1:6" x14ac:dyDescent="0.2">
      <c r="A21">
        <v>1020</v>
      </c>
      <c r="B21" t="s">
        <v>27</v>
      </c>
      <c r="C21" t="s">
        <v>52</v>
      </c>
      <c r="D21" t="s">
        <v>53</v>
      </c>
      <c r="E21" s="3">
        <v>48</v>
      </c>
      <c r="F21">
        <f t="shared" si="0"/>
        <v>0</v>
      </c>
    </row>
    <row r="22" spans="1:6" x14ac:dyDescent="0.2">
      <c r="A22">
        <v>1021</v>
      </c>
      <c r="B22" t="s">
        <v>28</v>
      </c>
      <c r="C22" t="s">
        <v>52</v>
      </c>
      <c r="D22" t="s">
        <v>53</v>
      </c>
      <c r="E22" s="3">
        <v>26</v>
      </c>
      <c r="F22">
        <f t="shared" si="0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8ECB4-C560-4125-B259-D22672293B40}">
  <dimension ref="A1:F40"/>
  <sheetViews>
    <sheetView workbookViewId="0">
      <selection activeCell="H26" sqref="H26"/>
    </sheetView>
  </sheetViews>
  <sheetFormatPr baseColWidth="10" defaultColWidth="8.83203125" defaultRowHeight="15" x14ac:dyDescent="0.2"/>
  <cols>
    <col min="2" max="2" width="14.83203125" customWidth="1"/>
    <col min="3" max="3" width="14" customWidth="1"/>
    <col min="4" max="4" width="14.33203125" customWidth="1"/>
    <col min="5" max="5" width="15.6640625" customWidth="1"/>
  </cols>
  <sheetData>
    <row r="1" spans="1:6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">
      <c r="A2">
        <v>1001</v>
      </c>
      <c r="B2" t="s">
        <v>6</v>
      </c>
      <c r="C2" t="s">
        <v>54</v>
      </c>
      <c r="D2" t="s">
        <v>55</v>
      </c>
      <c r="E2" s="3">
        <v>70</v>
      </c>
      <c r="F2">
        <f>IF(E2&gt;=60,1,0)</f>
        <v>1</v>
      </c>
    </row>
    <row r="3" spans="1:6" x14ac:dyDescent="0.2">
      <c r="A3">
        <v>1002</v>
      </c>
      <c r="B3" t="s">
        <v>9</v>
      </c>
      <c r="C3" t="s">
        <v>54</v>
      </c>
      <c r="D3" t="s">
        <v>55</v>
      </c>
      <c r="E3" s="3">
        <v>37</v>
      </c>
      <c r="F3">
        <f t="shared" ref="F3:F40" si="0">IF(E3&gt;=60,1,0)</f>
        <v>0</v>
      </c>
    </row>
    <row r="4" spans="1:6" x14ac:dyDescent="0.2">
      <c r="A4">
        <v>1003</v>
      </c>
      <c r="B4" t="s">
        <v>10</v>
      </c>
      <c r="C4" t="s">
        <v>54</v>
      </c>
      <c r="D4" t="s">
        <v>55</v>
      </c>
      <c r="E4" s="3">
        <v>68</v>
      </c>
      <c r="F4">
        <f t="shared" si="0"/>
        <v>1</v>
      </c>
    </row>
    <row r="5" spans="1:6" x14ac:dyDescent="0.2">
      <c r="A5">
        <v>1004</v>
      </c>
      <c r="B5" t="s">
        <v>11</v>
      </c>
      <c r="C5" t="s">
        <v>54</v>
      </c>
      <c r="D5" t="s">
        <v>55</v>
      </c>
      <c r="E5" s="3">
        <v>60</v>
      </c>
      <c r="F5">
        <f t="shared" si="0"/>
        <v>1</v>
      </c>
    </row>
    <row r="6" spans="1:6" x14ac:dyDescent="0.2">
      <c r="A6">
        <v>1005</v>
      </c>
      <c r="B6" t="s">
        <v>12</v>
      </c>
      <c r="C6" t="s">
        <v>54</v>
      </c>
      <c r="D6" t="s">
        <v>55</v>
      </c>
      <c r="E6" s="3">
        <v>98</v>
      </c>
      <c r="F6">
        <f t="shared" si="0"/>
        <v>1</v>
      </c>
    </row>
    <row r="7" spans="1:6" x14ac:dyDescent="0.2">
      <c r="A7">
        <v>1006</v>
      </c>
      <c r="B7" t="s">
        <v>13</v>
      </c>
      <c r="C7" t="s">
        <v>54</v>
      </c>
      <c r="D7" t="s">
        <v>55</v>
      </c>
      <c r="E7" s="3">
        <v>20</v>
      </c>
      <c r="F7">
        <f t="shared" si="0"/>
        <v>0</v>
      </c>
    </row>
    <row r="8" spans="1:6" x14ac:dyDescent="0.2">
      <c r="A8">
        <v>1007</v>
      </c>
      <c r="B8" t="s">
        <v>14</v>
      </c>
      <c r="C8" t="s">
        <v>54</v>
      </c>
      <c r="D8" t="s">
        <v>55</v>
      </c>
      <c r="E8" s="3">
        <v>32</v>
      </c>
      <c r="F8">
        <f t="shared" si="0"/>
        <v>0</v>
      </c>
    </row>
    <row r="9" spans="1:6" x14ac:dyDescent="0.2">
      <c r="A9">
        <v>1008</v>
      </c>
      <c r="B9" t="s">
        <v>15</v>
      </c>
      <c r="C9" t="s">
        <v>54</v>
      </c>
      <c r="D9" t="s">
        <v>55</v>
      </c>
      <c r="E9" s="3">
        <v>40</v>
      </c>
      <c r="F9">
        <f t="shared" si="0"/>
        <v>0</v>
      </c>
    </row>
    <row r="10" spans="1:6" x14ac:dyDescent="0.2">
      <c r="A10">
        <v>1009</v>
      </c>
      <c r="B10" t="s">
        <v>16</v>
      </c>
      <c r="C10" t="s">
        <v>54</v>
      </c>
      <c r="D10" t="s">
        <v>55</v>
      </c>
      <c r="E10" s="3">
        <v>97</v>
      </c>
      <c r="F10">
        <f t="shared" si="0"/>
        <v>1</v>
      </c>
    </row>
    <row r="11" spans="1:6" x14ac:dyDescent="0.2">
      <c r="A11">
        <v>1010</v>
      </c>
      <c r="B11" t="s">
        <v>17</v>
      </c>
      <c r="C11" t="s">
        <v>54</v>
      </c>
      <c r="D11" t="s">
        <v>55</v>
      </c>
      <c r="E11" s="3">
        <v>1</v>
      </c>
      <c r="F11">
        <f t="shared" si="0"/>
        <v>0</v>
      </c>
    </row>
    <row r="12" spans="1:6" x14ac:dyDescent="0.2">
      <c r="A12">
        <v>1011</v>
      </c>
      <c r="B12" t="s">
        <v>18</v>
      </c>
      <c r="C12" t="s">
        <v>54</v>
      </c>
      <c r="D12" t="s">
        <v>55</v>
      </c>
      <c r="E12" s="3">
        <v>6</v>
      </c>
      <c r="F12">
        <f t="shared" si="0"/>
        <v>0</v>
      </c>
    </row>
    <row r="13" spans="1:6" x14ac:dyDescent="0.2">
      <c r="A13">
        <v>1012</v>
      </c>
      <c r="B13" t="s">
        <v>19</v>
      </c>
      <c r="C13" t="s">
        <v>54</v>
      </c>
      <c r="D13" t="s">
        <v>55</v>
      </c>
      <c r="E13" s="3">
        <v>39</v>
      </c>
      <c r="F13">
        <f t="shared" si="0"/>
        <v>0</v>
      </c>
    </row>
    <row r="14" spans="1:6" x14ac:dyDescent="0.2">
      <c r="A14">
        <v>1013</v>
      </c>
      <c r="B14" t="s">
        <v>20</v>
      </c>
      <c r="C14" t="s">
        <v>54</v>
      </c>
      <c r="D14" t="s">
        <v>55</v>
      </c>
      <c r="E14" s="3">
        <v>68</v>
      </c>
      <c r="F14">
        <f t="shared" si="0"/>
        <v>1</v>
      </c>
    </row>
    <row r="15" spans="1:6" x14ac:dyDescent="0.2">
      <c r="A15">
        <v>1014</v>
      </c>
      <c r="B15" t="s">
        <v>21</v>
      </c>
      <c r="C15" t="s">
        <v>54</v>
      </c>
      <c r="D15" t="s">
        <v>55</v>
      </c>
      <c r="E15" s="3">
        <v>37</v>
      </c>
      <c r="F15">
        <f t="shared" si="0"/>
        <v>0</v>
      </c>
    </row>
    <row r="16" spans="1:6" x14ac:dyDescent="0.2">
      <c r="A16">
        <v>1015</v>
      </c>
      <c r="B16" t="s">
        <v>22</v>
      </c>
      <c r="C16" t="s">
        <v>54</v>
      </c>
      <c r="D16" t="s">
        <v>55</v>
      </c>
      <c r="E16" s="3">
        <v>37</v>
      </c>
      <c r="F16">
        <f t="shared" si="0"/>
        <v>0</v>
      </c>
    </row>
    <row r="17" spans="1:6" x14ac:dyDescent="0.2">
      <c r="A17">
        <v>1016</v>
      </c>
      <c r="B17" t="s">
        <v>23</v>
      </c>
      <c r="C17" t="s">
        <v>54</v>
      </c>
      <c r="D17" t="s">
        <v>55</v>
      </c>
      <c r="E17" s="3">
        <v>90</v>
      </c>
      <c r="F17">
        <f t="shared" si="0"/>
        <v>1</v>
      </c>
    </row>
    <row r="18" spans="1:6" x14ac:dyDescent="0.2">
      <c r="A18">
        <v>1017</v>
      </c>
      <c r="B18" t="s">
        <v>24</v>
      </c>
      <c r="C18" t="s">
        <v>54</v>
      </c>
      <c r="D18" t="s">
        <v>55</v>
      </c>
      <c r="E18" s="3">
        <v>38</v>
      </c>
      <c r="F18">
        <f t="shared" si="0"/>
        <v>0</v>
      </c>
    </row>
    <row r="19" spans="1:6" x14ac:dyDescent="0.2">
      <c r="A19">
        <v>1018</v>
      </c>
      <c r="B19" t="s">
        <v>25</v>
      </c>
      <c r="C19" t="s">
        <v>54</v>
      </c>
      <c r="D19" t="s">
        <v>55</v>
      </c>
      <c r="E19" s="3">
        <v>87</v>
      </c>
      <c r="F19">
        <f t="shared" si="0"/>
        <v>1</v>
      </c>
    </row>
    <row r="20" spans="1:6" x14ac:dyDescent="0.2">
      <c r="A20">
        <v>1019</v>
      </c>
      <c r="B20" t="s">
        <v>26</v>
      </c>
      <c r="C20" t="s">
        <v>54</v>
      </c>
      <c r="D20" t="s">
        <v>55</v>
      </c>
      <c r="E20" s="3">
        <v>45</v>
      </c>
      <c r="F20">
        <f t="shared" si="0"/>
        <v>0</v>
      </c>
    </row>
    <row r="21" spans="1:6" x14ac:dyDescent="0.2">
      <c r="A21">
        <v>1020</v>
      </c>
      <c r="B21" t="s">
        <v>27</v>
      </c>
      <c r="C21" t="s">
        <v>54</v>
      </c>
      <c r="D21" t="s">
        <v>55</v>
      </c>
      <c r="E21" s="3">
        <v>73</v>
      </c>
      <c r="F21">
        <f t="shared" si="0"/>
        <v>1</v>
      </c>
    </row>
    <row r="22" spans="1:6" x14ac:dyDescent="0.2">
      <c r="A22">
        <v>1021</v>
      </c>
      <c r="B22" t="s">
        <v>28</v>
      </c>
      <c r="C22" t="s">
        <v>54</v>
      </c>
      <c r="D22" t="s">
        <v>55</v>
      </c>
      <c r="E22" s="3">
        <v>36</v>
      </c>
      <c r="F22">
        <f t="shared" si="0"/>
        <v>0</v>
      </c>
    </row>
    <row r="23" spans="1:6" x14ac:dyDescent="0.2">
      <c r="A23">
        <v>1022</v>
      </c>
      <c r="B23" t="s">
        <v>29</v>
      </c>
      <c r="C23" t="s">
        <v>54</v>
      </c>
      <c r="D23" t="s">
        <v>55</v>
      </c>
      <c r="E23" s="3">
        <v>35</v>
      </c>
      <c r="F23">
        <f t="shared" si="0"/>
        <v>0</v>
      </c>
    </row>
    <row r="24" spans="1:6" x14ac:dyDescent="0.2">
      <c r="A24">
        <v>1023</v>
      </c>
      <c r="B24" t="s">
        <v>30</v>
      </c>
      <c r="C24" t="s">
        <v>54</v>
      </c>
      <c r="D24" t="s">
        <v>55</v>
      </c>
      <c r="E24" s="3">
        <v>85</v>
      </c>
      <c r="F24">
        <f t="shared" si="0"/>
        <v>1</v>
      </c>
    </row>
    <row r="25" spans="1:6" x14ac:dyDescent="0.2">
      <c r="A25">
        <v>1024</v>
      </c>
      <c r="B25" t="s">
        <v>31</v>
      </c>
      <c r="C25" t="s">
        <v>54</v>
      </c>
      <c r="D25" t="s">
        <v>55</v>
      </c>
      <c r="E25" s="3">
        <v>7</v>
      </c>
      <c r="F25">
        <f t="shared" si="0"/>
        <v>0</v>
      </c>
    </row>
    <row r="26" spans="1:6" x14ac:dyDescent="0.2">
      <c r="A26">
        <v>1025</v>
      </c>
      <c r="B26" t="s">
        <v>32</v>
      </c>
      <c r="C26" t="s">
        <v>54</v>
      </c>
      <c r="D26" t="s">
        <v>55</v>
      </c>
      <c r="E26" s="3">
        <v>67</v>
      </c>
      <c r="F26">
        <f t="shared" si="0"/>
        <v>1</v>
      </c>
    </row>
    <row r="27" spans="1:6" x14ac:dyDescent="0.2">
      <c r="A27">
        <v>1026</v>
      </c>
      <c r="B27" t="s">
        <v>33</v>
      </c>
      <c r="C27" t="s">
        <v>54</v>
      </c>
      <c r="D27" t="s">
        <v>55</v>
      </c>
      <c r="E27" s="3">
        <v>80</v>
      </c>
      <c r="F27">
        <f t="shared" si="0"/>
        <v>1</v>
      </c>
    </row>
    <row r="28" spans="1:6" x14ac:dyDescent="0.2">
      <c r="A28">
        <v>1027</v>
      </c>
      <c r="B28" t="s">
        <v>34</v>
      </c>
      <c r="C28" t="s">
        <v>54</v>
      </c>
      <c r="D28" t="s">
        <v>55</v>
      </c>
      <c r="E28" s="3">
        <v>55</v>
      </c>
      <c r="F28">
        <f t="shared" si="0"/>
        <v>0</v>
      </c>
    </row>
    <row r="29" spans="1:6" x14ac:dyDescent="0.2">
      <c r="A29">
        <v>1028</v>
      </c>
      <c r="B29" t="s">
        <v>35</v>
      </c>
      <c r="C29" t="s">
        <v>54</v>
      </c>
      <c r="D29" t="s">
        <v>55</v>
      </c>
      <c r="E29" s="3">
        <v>83</v>
      </c>
      <c r="F29">
        <f t="shared" si="0"/>
        <v>1</v>
      </c>
    </row>
    <row r="30" spans="1:6" x14ac:dyDescent="0.2">
      <c r="A30">
        <v>1029</v>
      </c>
      <c r="B30" t="s">
        <v>36</v>
      </c>
      <c r="C30" t="s">
        <v>54</v>
      </c>
      <c r="D30" t="s">
        <v>55</v>
      </c>
      <c r="E30" s="3">
        <v>67</v>
      </c>
      <c r="F30">
        <f t="shared" si="0"/>
        <v>1</v>
      </c>
    </row>
    <row r="31" spans="1:6" x14ac:dyDescent="0.2">
      <c r="A31">
        <v>1030</v>
      </c>
      <c r="B31" t="s">
        <v>37</v>
      </c>
      <c r="C31" t="s">
        <v>54</v>
      </c>
      <c r="D31" t="s">
        <v>55</v>
      </c>
      <c r="E31" s="3">
        <v>27</v>
      </c>
      <c r="F31">
        <f t="shared" si="0"/>
        <v>0</v>
      </c>
    </row>
    <row r="32" spans="1:6" x14ac:dyDescent="0.2">
      <c r="A32">
        <v>1031</v>
      </c>
      <c r="B32" t="s">
        <v>38</v>
      </c>
      <c r="C32" t="s">
        <v>54</v>
      </c>
      <c r="D32" t="s">
        <v>55</v>
      </c>
      <c r="E32" s="3">
        <v>94</v>
      </c>
      <c r="F32">
        <f t="shared" si="0"/>
        <v>1</v>
      </c>
    </row>
    <row r="33" spans="1:6" x14ac:dyDescent="0.2">
      <c r="A33">
        <v>1032</v>
      </c>
      <c r="B33" t="s">
        <v>39</v>
      </c>
      <c r="C33" t="s">
        <v>54</v>
      </c>
      <c r="D33" t="s">
        <v>55</v>
      </c>
      <c r="E33" s="3">
        <v>96</v>
      </c>
      <c r="F33">
        <f t="shared" si="0"/>
        <v>1</v>
      </c>
    </row>
    <row r="34" spans="1:6" x14ac:dyDescent="0.2">
      <c r="A34">
        <v>1033</v>
      </c>
      <c r="B34" t="s">
        <v>40</v>
      </c>
      <c r="C34" t="s">
        <v>54</v>
      </c>
      <c r="D34" t="s">
        <v>55</v>
      </c>
      <c r="E34" s="3">
        <v>99</v>
      </c>
      <c r="F34">
        <f t="shared" si="0"/>
        <v>1</v>
      </c>
    </row>
    <row r="35" spans="1:6" x14ac:dyDescent="0.2">
      <c r="A35">
        <v>1034</v>
      </c>
      <c r="B35" t="s">
        <v>41</v>
      </c>
      <c r="C35" t="s">
        <v>54</v>
      </c>
      <c r="D35" t="s">
        <v>55</v>
      </c>
      <c r="E35" s="3">
        <v>64</v>
      </c>
      <c r="F35">
        <f t="shared" si="0"/>
        <v>1</v>
      </c>
    </row>
    <row r="36" spans="1:6" x14ac:dyDescent="0.2">
      <c r="A36">
        <v>1035</v>
      </c>
      <c r="B36" t="s">
        <v>42</v>
      </c>
      <c r="C36" t="s">
        <v>54</v>
      </c>
      <c r="D36" t="s">
        <v>55</v>
      </c>
      <c r="E36" s="3">
        <v>52</v>
      </c>
      <c r="F36">
        <f t="shared" si="0"/>
        <v>0</v>
      </c>
    </row>
    <row r="37" spans="1:6" x14ac:dyDescent="0.2">
      <c r="A37">
        <v>1036</v>
      </c>
      <c r="B37" t="s">
        <v>43</v>
      </c>
      <c r="C37" t="s">
        <v>54</v>
      </c>
      <c r="D37" t="s">
        <v>55</v>
      </c>
      <c r="E37" s="3">
        <v>16</v>
      </c>
      <c r="F37">
        <f t="shared" si="0"/>
        <v>0</v>
      </c>
    </row>
    <row r="38" spans="1:6" x14ac:dyDescent="0.2">
      <c r="A38">
        <v>1037</v>
      </c>
      <c r="B38" t="s">
        <v>44</v>
      </c>
      <c r="C38" t="s">
        <v>54</v>
      </c>
      <c r="D38" t="s">
        <v>55</v>
      </c>
      <c r="E38" s="3">
        <v>34</v>
      </c>
      <c r="F38">
        <f t="shared" si="0"/>
        <v>0</v>
      </c>
    </row>
    <row r="39" spans="1:6" x14ac:dyDescent="0.2">
      <c r="A39">
        <v>1038</v>
      </c>
      <c r="B39" t="s">
        <v>45</v>
      </c>
      <c r="C39" t="s">
        <v>54</v>
      </c>
      <c r="D39" t="s">
        <v>55</v>
      </c>
      <c r="E39" s="3">
        <v>76</v>
      </c>
      <c r="F39">
        <f t="shared" si="0"/>
        <v>1</v>
      </c>
    </row>
    <row r="40" spans="1:6" x14ac:dyDescent="0.2">
      <c r="A40">
        <v>1039</v>
      </c>
      <c r="B40" t="s">
        <v>56</v>
      </c>
      <c r="C40" t="s">
        <v>54</v>
      </c>
      <c r="D40" t="s">
        <v>55</v>
      </c>
      <c r="E40" s="3">
        <v>96</v>
      </c>
      <c r="F40">
        <f t="shared" si="0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8898-BD4A-4D69-AD11-16BF270C0729}">
  <dimension ref="A1:P40"/>
  <sheetViews>
    <sheetView zoomScale="108" zoomScaleNormal="130" workbookViewId="0">
      <selection activeCell="F11" sqref="F11"/>
    </sheetView>
  </sheetViews>
  <sheetFormatPr baseColWidth="10" defaultColWidth="8.83203125" defaultRowHeight="15" x14ac:dyDescent="0.2"/>
  <cols>
    <col min="1" max="1" width="18.5" customWidth="1"/>
    <col min="3" max="3" width="11.6640625" customWidth="1"/>
    <col min="4" max="4" width="12.1640625" customWidth="1"/>
    <col min="6" max="6" width="17.83203125" customWidth="1"/>
    <col min="7" max="7" width="17.6640625" customWidth="1"/>
    <col min="8" max="8" width="11.1640625" customWidth="1"/>
    <col min="10" max="10" width="21.5" customWidth="1"/>
    <col min="15" max="15" width="8.83203125" style="5"/>
  </cols>
  <sheetData>
    <row r="1" spans="1:16" x14ac:dyDescent="0.2">
      <c r="A1" s="1" t="s">
        <v>1</v>
      </c>
      <c r="B1" t="s">
        <v>0</v>
      </c>
      <c r="C1" t="s">
        <v>57</v>
      </c>
      <c r="D1" t="s">
        <v>58</v>
      </c>
      <c r="E1" t="s">
        <v>59</v>
      </c>
      <c r="F1" t="s">
        <v>60</v>
      </c>
      <c r="G1" s="4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s="5" t="s">
        <v>69</v>
      </c>
      <c r="P1" t="s">
        <v>70</v>
      </c>
    </row>
    <row r="2" spans="1:16" x14ac:dyDescent="0.2">
      <c r="A2" t="s">
        <v>6</v>
      </c>
      <c r="B2">
        <v>1001</v>
      </c>
      <c r="C2">
        <v>17</v>
      </c>
      <c r="D2">
        <v>1</v>
      </c>
      <c r="E2">
        <v>0</v>
      </c>
      <c r="F2">
        <v>2</v>
      </c>
      <c r="G2">
        <v>19.833722807854699</v>
      </c>
      <c r="H2">
        <v>7</v>
      </c>
      <c r="I2">
        <v>1</v>
      </c>
      <c r="J2">
        <v>2</v>
      </c>
      <c r="K2">
        <v>0</v>
      </c>
      <c r="L2">
        <v>0</v>
      </c>
      <c r="M2">
        <v>1</v>
      </c>
      <c r="N2">
        <v>0</v>
      </c>
      <c r="O2" s="5">
        <v>2.9291955916676802</v>
      </c>
      <c r="P2">
        <v>2</v>
      </c>
    </row>
    <row r="3" spans="1:16" x14ac:dyDescent="0.2">
      <c r="A3" t="s">
        <v>9</v>
      </c>
      <c r="B3">
        <v>1002</v>
      </c>
      <c r="C3">
        <v>18</v>
      </c>
      <c r="D3">
        <v>0</v>
      </c>
      <c r="E3">
        <v>0</v>
      </c>
      <c r="F3">
        <v>1</v>
      </c>
      <c r="G3">
        <v>15.4087560558467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 s="5">
        <v>3.0429148334363698</v>
      </c>
      <c r="P3">
        <v>1</v>
      </c>
    </row>
    <row r="4" spans="1:16" x14ac:dyDescent="0.2">
      <c r="A4" t="s">
        <v>10</v>
      </c>
      <c r="B4">
        <v>1003</v>
      </c>
      <c r="C4">
        <v>15</v>
      </c>
      <c r="D4">
        <v>0</v>
      </c>
      <c r="E4">
        <v>2</v>
      </c>
      <c r="F4">
        <v>3</v>
      </c>
      <c r="G4">
        <v>4.2105697688122596</v>
      </c>
      <c r="H4">
        <v>26</v>
      </c>
      <c r="I4">
        <v>0</v>
      </c>
      <c r="J4">
        <v>2</v>
      </c>
      <c r="K4">
        <v>0</v>
      </c>
      <c r="L4">
        <v>0</v>
      </c>
      <c r="M4">
        <v>0</v>
      </c>
      <c r="N4">
        <v>0</v>
      </c>
      <c r="O4" s="5">
        <v>0.112602254466181</v>
      </c>
      <c r="P4">
        <v>4</v>
      </c>
    </row>
    <row r="5" spans="1:16" x14ac:dyDescent="0.2">
      <c r="A5" t="s">
        <v>11</v>
      </c>
      <c r="B5">
        <v>1004</v>
      </c>
      <c r="C5">
        <v>17</v>
      </c>
      <c r="D5">
        <v>1</v>
      </c>
      <c r="E5">
        <v>0</v>
      </c>
      <c r="F5">
        <v>3</v>
      </c>
      <c r="G5">
        <v>10.028829473958201</v>
      </c>
      <c r="H5">
        <v>14</v>
      </c>
      <c r="I5">
        <v>0</v>
      </c>
      <c r="J5">
        <v>3</v>
      </c>
      <c r="K5">
        <v>1</v>
      </c>
      <c r="L5">
        <v>0</v>
      </c>
      <c r="M5">
        <v>0</v>
      </c>
      <c r="N5">
        <v>0</v>
      </c>
      <c r="O5" s="5">
        <v>2.05421813970294</v>
      </c>
      <c r="P5">
        <v>3</v>
      </c>
    </row>
    <row r="6" spans="1:16" x14ac:dyDescent="0.2">
      <c r="A6" t="s">
        <v>12</v>
      </c>
      <c r="B6">
        <v>1005</v>
      </c>
      <c r="C6">
        <v>17</v>
      </c>
      <c r="D6">
        <v>1</v>
      </c>
      <c r="E6">
        <v>0</v>
      </c>
      <c r="F6">
        <v>2</v>
      </c>
      <c r="G6">
        <v>4.6724952729713296</v>
      </c>
      <c r="H6">
        <v>17</v>
      </c>
      <c r="I6">
        <v>1</v>
      </c>
      <c r="J6">
        <v>3</v>
      </c>
      <c r="K6">
        <v>0</v>
      </c>
      <c r="L6">
        <v>0</v>
      </c>
      <c r="M6">
        <v>0</v>
      </c>
      <c r="N6">
        <v>0</v>
      </c>
      <c r="O6" s="5">
        <v>1.28806118179538</v>
      </c>
      <c r="P6">
        <v>4</v>
      </c>
    </row>
    <row r="7" spans="1:16" x14ac:dyDescent="0.2">
      <c r="A7" t="s">
        <v>13</v>
      </c>
      <c r="B7">
        <v>1006</v>
      </c>
      <c r="C7">
        <v>18</v>
      </c>
      <c r="D7">
        <v>0</v>
      </c>
      <c r="E7">
        <v>0</v>
      </c>
      <c r="F7">
        <v>1</v>
      </c>
      <c r="G7">
        <v>8.1912185452501802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 s="5">
        <v>3.0841836144863901</v>
      </c>
      <c r="P7">
        <v>1</v>
      </c>
    </row>
    <row r="8" spans="1:16" x14ac:dyDescent="0.2">
      <c r="A8" t="s">
        <v>14</v>
      </c>
      <c r="B8">
        <v>1007</v>
      </c>
      <c r="C8">
        <v>15</v>
      </c>
      <c r="D8">
        <v>0</v>
      </c>
      <c r="E8">
        <v>1</v>
      </c>
      <c r="F8">
        <v>1</v>
      </c>
      <c r="G8">
        <v>15.601680474699201</v>
      </c>
      <c r="H8">
        <v>10</v>
      </c>
      <c r="I8">
        <v>0</v>
      </c>
      <c r="J8">
        <v>3</v>
      </c>
      <c r="K8">
        <v>0</v>
      </c>
      <c r="L8">
        <v>1</v>
      </c>
      <c r="M8">
        <v>0</v>
      </c>
      <c r="N8">
        <v>0</v>
      </c>
      <c r="O8" s="5">
        <v>2.7482374148915798</v>
      </c>
      <c r="P8">
        <v>2</v>
      </c>
    </row>
    <row r="9" spans="1:16" x14ac:dyDescent="0.2">
      <c r="A9" t="s">
        <v>15</v>
      </c>
      <c r="B9">
        <v>1008</v>
      </c>
      <c r="C9">
        <v>15</v>
      </c>
      <c r="D9">
        <v>1</v>
      </c>
      <c r="E9">
        <v>1</v>
      </c>
      <c r="F9">
        <v>4</v>
      </c>
      <c r="G9">
        <v>15.424496305808001</v>
      </c>
      <c r="H9">
        <v>22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 s="5">
        <v>1.36014271231646</v>
      </c>
      <c r="P9">
        <v>4</v>
      </c>
    </row>
    <row r="10" spans="1:16" x14ac:dyDescent="0.2">
      <c r="A10" t="s">
        <v>16</v>
      </c>
      <c r="B10">
        <v>1009</v>
      </c>
      <c r="C10">
        <v>17</v>
      </c>
      <c r="D10">
        <v>0</v>
      </c>
      <c r="E10">
        <v>0</v>
      </c>
      <c r="F10">
        <v>0</v>
      </c>
      <c r="G10">
        <v>4.5620075580477</v>
      </c>
      <c r="H10">
        <v>1</v>
      </c>
      <c r="I10">
        <v>0</v>
      </c>
      <c r="J10">
        <v>2</v>
      </c>
      <c r="K10">
        <v>0</v>
      </c>
      <c r="L10">
        <v>1</v>
      </c>
      <c r="M10">
        <v>0</v>
      </c>
      <c r="N10">
        <v>1</v>
      </c>
      <c r="O10" s="5">
        <v>2.8968191895135602</v>
      </c>
      <c r="P10">
        <v>2</v>
      </c>
    </row>
    <row r="11" spans="1:16" x14ac:dyDescent="0.2">
      <c r="A11" t="s">
        <v>17</v>
      </c>
      <c r="B11">
        <v>1010</v>
      </c>
      <c r="C11">
        <v>16</v>
      </c>
      <c r="D11">
        <v>1</v>
      </c>
      <c r="E11">
        <v>0</v>
      </c>
      <c r="F11">
        <v>1</v>
      </c>
      <c r="G11">
        <v>18.444466363097199</v>
      </c>
      <c r="H11">
        <v>0</v>
      </c>
      <c r="I11">
        <v>0</v>
      </c>
      <c r="J11">
        <v>3</v>
      </c>
      <c r="K11">
        <v>1</v>
      </c>
      <c r="L11">
        <v>0</v>
      </c>
      <c r="M11">
        <v>0</v>
      </c>
      <c r="N11">
        <v>0</v>
      </c>
      <c r="O11" s="5">
        <v>3.5734742103297599</v>
      </c>
      <c r="P11">
        <v>0</v>
      </c>
    </row>
    <row r="12" spans="1:16" x14ac:dyDescent="0.2">
      <c r="A12" t="s">
        <v>18</v>
      </c>
      <c r="B12">
        <v>1011</v>
      </c>
      <c r="C12">
        <v>17</v>
      </c>
      <c r="D12">
        <v>0</v>
      </c>
      <c r="E12">
        <v>0</v>
      </c>
      <c r="F12">
        <v>1</v>
      </c>
      <c r="G12">
        <v>11.851363655296501</v>
      </c>
      <c r="H12">
        <v>11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 s="5">
        <v>2.14717162501851</v>
      </c>
      <c r="P12">
        <v>3</v>
      </c>
    </row>
    <row r="13" spans="1:16" x14ac:dyDescent="0.2">
      <c r="A13" t="s">
        <v>19</v>
      </c>
      <c r="B13">
        <v>1012</v>
      </c>
      <c r="C13">
        <v>17</v>
      </c>
      <c r="D13">
        <v>0</v>
      </c>
      <c r="E13">
        <v>0</v>
      </c>
      <c r="F13">
        <v>1</v>
      </c>
      <c r="G13">
        <v>7.59848581924029</v>
      </c>
      <c r="H13">
        <v>15</v>
      </c>
      <c r="I13">
        <v>0</v>
      </c>
      <c r="J13">
        <v>2</v>
      </c>
      <c r="K13">
        <v>0</v>
      </c>
      <c r="L13">
        <v>0</v>
      </c>
      <c r="M13">
        <v>0</v>
      </c>
      <c r="N13">
        <v>1</v>
      </c>
      <c r="O13" s="5">
        <v>1.55959451904027</v>
      </c>
      <c r="P13">
        <v>4</v>
      </c>
    </row>
    <row r="14" spans="1:16" x14ac:dyDescent="0.2">
      <c r="A14" t="s">
        <v>20</v>
      </c>
      <c r="B14">
        <v>1013</v>
      </c>
      <c r="C14">
        <v>17</v>
      </c>
      <c r="D14">
        <v>0</v>
      </c>
      <c r="E14">
        <v>1</v>
      </c>
      <c r="F14">
        <v>1</v>
      </c>
      <c r="G14">
        <v>10.038711615617199</v>
      </c>
      <c r="H14">
        <v>21</v>
      </c>
      <c r="I14">
        <v>0</v>
      </c>
      <c r="J14">
        <v>3</v>
      </c>
      <c r="K14">
        <v>1</v>
      </c>
      <c r="L14">
        <v>0</v>
      </c>
      <c r="M14">
        <v>0</v>
      </c>
      <c r="N14">
        <v>0</v>
      </c>
      <c r="O14" s="5">
        <v>1.5200778148748</v>
      </c>
      <c r="P14">
        <v>4</v>
      </c>
    </row>
    <row r="15" spans="1:16" x14ac:dyDescent="0.2">
      <c r="A15" t="s">
        <v>21</v>
      </c>
      <c r="B15">
        <v>1014</v>
      </c>
      <c r="C15">
        <v>17</v>
      </c>
      <c r="D15">
        <v>0</v>
      </c>
      <c r="E15">
        <v>1</v>
      </c>
      <c r="F15">
        <v>2</v>
      </c>
      <c r="G15">
        <v>12.1014250687548</v>
      </c>
      <c r="H15">
        <v>21</v>
      </c>
      <c r="I15">
        <v>0</v>
      </c>
      <c r="J15">
        <v>4</v>
      </c>
      <c r="K15">
        <v>0</v>
      </c>
      <c r="L15">
        <v>1</v>
      </c>
      <c r="M15">
        <v>0</v>
      </c>
      <c r="N15">
        <v>0</v>
      </c>
      <c r="O15" s="5">
        <v>1.75158095833407</v>
      </c>
      <c r="P15">
        <v>4</v>
      </c>
    </row>
    <row r="16" spans="1:16" x14ac:dyDescent="0.2">
      <c r="A16" t="s">
        <v>22</v>
      </c>
      <c r="B16">
        <v>1015</v>
      </c>
      <c r="C16">
        <v>18</v>
      </c>
      <c r="D16">
        <v>1</v>
      </c>
      <c r="E16">
        <v>0</v>
      </c>
      <c r="F16">
        <v>1</v>
      </c>
      <c r="G16">
        <v>11.197810636915699</v>
      </c>
      <c r="H16">
        <v>9</v>
      </c>
      <c r="I16">
        <v>1</v>
      </c>
      <c r="J16">
        <v>2</v>
      </c>
      <c r="K16">
        <v>0</v>
      </c>
      <c r="L16">
        <v>0</v>
      </c>
      <c r="M16">
        <v>0</v>
      </c>
      <c r="N16">
        <v>0</v>
      </c>
      <c r="O16" s="5">
        <v>2.3967881171247898</v>
      </c>
      <c r="P16">
        <v>3</v>
      </c>
    </row>
    <row r="17" spans="1:16" x14ac:dyDescent="0.2">
      <c r="A17" t="s">
        <v>23</v>
      </c>
      <c r="B17">
        <v>1016</v>
      </c>
      <c r="C17">
        <v>15</v>
      </c>
      <c r="D17">
        <v>0</v>
      </c>
      <c r="E17">
        <v>0</v>
      </c>
      <c r="F17">
        <v>2</v>
      </c>
      <c r="G17">
        <v>9.7281007107235595</v>
      </c>
      <c r="H17">
        <v>17</v>
      </c>
      <c r="I17">
        <v>1</v>
      </c>
      <c r="J17">
        <v>0</v>
      </c>
      <c r="K17">
        <v>0</v>
      </c>
      <c r="L17">
        <v>1</v>
      </c>
      <c r="M17">
        <v>0</v>
      </c>
      <c r="N17">
        <v>0</v>
      </c>
      <c r="O17" s="5">
        <v>1.3415207165346601</v>
      </c>
      <c r="P17">
        <v>4</v>
      </c>
    </row>
    <row r="18" spans="1:16" x14ac:dyDescent="0.2">
      <c r="A18" t="s">
        <v>24</v>
      </c>
      <c r="B18">
        <v>1017</v>
      </c>
      <c r="C18">
        <v>18</v>
      </c>
      <c r="D18">
        <v>0</v>
      </c>
      <c r="E18">
        <v>3</v>
      </c>
      <c r="F18">
        <v>1</v>
      </c>
      <c r="G18">
        <v>10.098656081788</v>
      </c>
      <c r="H18">
        <v>14</v>
      </c>
      <c r="I18">
        <v>0</v>
      </c>
      <c r="J18">
        <v>2</v>
      </c>
      <c r="K18">
        <v>1</v>
      </c>
      <c r="L18">
        <v>1</v>
      </c>
      <c r="M18">
        <v>0</v>
      </c>
      <c r="N18">
        <v>0</v>
      </c>
      <c r="O18" s="5">
        <v>2.23217527771597</v>
      </c>
      <c r="P18">
        <v>3</v>
      </c>
    </row>
    <row r="19" spans="1:16" x14ac:dyDescent="0.2">
      <c r="A19" t="s">
        <v>25</v>
      </c>
      <c r="B19">
        <v>1018</v>
      </c>
      <c r="C19">
        <v>18</v>
      </c>
      <c r="D19">
        <v>1</v>
      </c>
      <c r="E19">
        <v>0</v>
      </c>
      <c r="F19">
        <v>0</v>
      </c>
      <c r="G19">
        <v>3.52823820855772</v>
      </c>
      <c r="H19">
        <v>16</v>
      </c>
      <c r="I19">
        <v>1</v>
      </c>
      <c r="J19">
        <v>2</v>
      </c>
      <c r="K19">
        <v>0</v>
      </c>
      <c r="L19">
        <v>0</v>
      </c>
      <c r="M19">
        <v>0</v>
      </c>
      <c r="N19">
        <v>0</v>
      </c>
      <c r="O19" s="5">
        <v>1.38440417569403</v>
      </c>
      <c r="P19">
        <v>4</v>
      </c>
    </row>
    <row r="20" spans="1:16" x14ac:dyDescent="0.2">
      <c r="A20" t="s">
        <v>26</v>
      </c>
      <c r="B20">
        <v>1019</v>
      </c>
      <c r="C20">
        <v>18</v>
      </c>
      <c r="D20">
        <v>0</v>
      </c>
      <c r="E20">
        <v>1</v>
      </c>
      <c r="F20">
        <v>3</v>
      </c>
      <c r="G20">
        <v>16.254658086093499</v>
      </c>
      <c r="H20">
        <v>29</v>
      </c>
      <c r="I20">
        <v>0</v>
      </c>
      <c r="J20">
        <v>2</v>
      </c>
      <c r="K20">
        <v>1</v>
      </c>
      <c r="L20">
        <v>0</v>
      </c>
      <c r="M20">
        <v>0</v>
      </c>
      <c r="N20">
        <v>1</v>
      </c>
      <c r="O20" s="5">
        <v>0.46955332337986999</v>
      </c>
      <c r="P20">
        <v>4</v>
      </c>
    </row>
    <row r="21" spans="1:16" x14ac:dyDescent="0.2">
      <c r="A21" t="s">
        <v>27</v>
      </c>
      <c r="B21">
        <v>1020</v>
      </c>
      <c r="C21">
        <v>17</v>
      </c>
      <c r="D21">
        <v>0</v>
      </c>
      <c r="E21">
        <v>0</v>
      </c>
      <c r="F21">
        <v>1</v>
      </c>
      <c r="G21">
        <v>10.835206398820301</v>
      </c>
      <c r="H21">
        <v>9</v>
      </c>
      <c r="I21">
        <v>0</v>
      </c>
      <c r="J21">
        <v>2</v>
      </c>
      <c r="K21">
        <v>0</v>
      </c>
      <c r="L21">
        <v>0</v>
      </c>
      <c r="M21">
        <v>1</v>
      </c>
      <c r="N21">
        <v>0</v>
      </c>
      <c r="O21" s="5">
        <v>2.3957840945306899</v>
      </c>
      <c r="P21">
        <v>3</v>
      </c>
    </row>
    <row r="22" spans="1:16" x14ac:dyDescent="0.2">
      <c r="A22" t="s">
        <v>28</v>
      </c>
      <c r="B22">
        <v>1021</v>
      </c>
      <c r="C22">
        <v>16</v>
      </c>
      <c r="D22">
        <v>1</v>
      </c>
      <c r="E22">
        <v>0</v>
      </c>
      <c r="F22">
        <v>3</v>
      </c>
      <c r="G22">
        <v>2.6215972340940601</v>
      </c>
      <c r="H22">
        <v>2</v>
      </c>
      <c r="I22">
        <v>0</v>
      </c>
      <c r="J22">
        <v>3</v>
      </c>
      <c r="K22">
        <v>0</v>
      </c>
      <c r="L22">
        <v>0</v>
      </c>
      <c r="M22">
        <v>0</v>
      </c>
      <c r="N22">
        <v>1</v>
      </c>
      <c r="O22" s="5">
        <v>2.7784112999206498</v>
      </c>
      <c r="P22">
        <v>2</v>
      </c>
    </row>
    <row r="23" spans="1:16" x14ac:dyDescent="0.2">
      <c r="A23" t="s">
        <v>29</v>
      </c>
      <c r="B23">
        <v>1022</v>
      </c>
      <c r="C23">
        <v>15</v>
      </c>
      <c r="D23">
        <v>0</v>
      </c>
      <c r="E23">
        <v>0</v>
      </c>
      <c r="F23">
        <v>2</v>
      </c>
      <c r="G23">
        <v>15.3231420316555</v>
      </c>
      <c r="H23">
        <v>25</v>
      </c>
      <c r="I23">
        <v>0</v>
      </c>
      <c r="J23">
        <v>1</v>
      </c>
      <c r="K23">
        <v>1</v>
      </c>
      <c r="L23">
        <v>0</v>
      </c>
      <c r="M23">
        <v>0</v>
      </c>
      <c r="N23">
        <v>0</v>
      </c>
      <c r="O23" s="5">
        <v>0.34689403670501401</v>
      </c>
      <c r="P23">
        <v>4</v>
      </c>
    </row>
    <row r="24" spans="1:16" x14ac:dyDescent="0.2">
      <c r="A24" t="s">
        <v>30</v>
      </c>
      <c r="B24">
        <v>1023</v>
      </c>
      <c r="C24">
        <v>16</v>
      </c>
      <c r="D24">
        <v>1</v>
      </c>
      <c r="E24">
        <v>1</v>
      </c>
      <c r="F24">
        <v>0</v>
      </c>
      <c r="G24">
        <v>18.648879567546999</v>
      </c>
      <c r="H24">
        <v>29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 s="5">
        <v>0.31254623052535402</v>
      </c>
      <c r="P24">
        <v>4</v>
      </c>
    </row>
    <row r="25" spans="1:16" x14ac:dyDescent="0.2">
      <c r="A25" t="s">
        <v>31</v>
      </c>
      <c r="B25">
        <v>1024</v>
      </c>
      <c r="C25">
        <v>18</v>
      </c>
      <c r="D25">
        <v>1</v>
      </c>
      <c r="E25">
        <v>3</v>
      </c>
      <c r="F25">
        <v>4</v>
      </c>
      <c r="G25">
        <v>18.946137984739199</v>
      </c>
      <c r="H25">
        <v>20</v>
      </c>
      <c r="I25">
        <v>0</v>
      </c>
      <c r="J25">
        <v>2</v>
      </c>
      <c r="K25">
        <v>1</v>
      </c>
      <c r="L25">
        <v>0</v>
      </c>
      <c r="M25">
        <v>0</v>
      </c>
      <c r="N25">
        <v>0</v>
      </c>
      <c r="O25" s="5">
        <v>1.7701318767799701</v>
      </c>
      <c r="P25">
        <v>4</v>
      </c>
    </row>
    <row r="26" spans="1:16" x14ac:dyDescent="0.2">
      <c r="A26" t="s">
        <v>32</v>
      </c>
      <c r="B26">
        <v>1025</v>
      </c>
      <c r="C26">
        <v>18</v>
      </c>
      <c r="D26">
        <v>1</v>
      </c>
      <c r="E26">
        <v>0</v>
      </c>
      <c r="F26">
        <v>1</v>
      </c>
      <c r="G26">
        <v>7.3803546482234497</v>
      </c>
      <c r="H26">
        <v>15</v>
      </c>
      <c r="I26">
        <v>0</v>
      </c>
      <c r="J26">
        <v>2</v>
      </c>
      <c r="K26">
        <v>0</v>
      </c>
      <c r="L26">
        <v>0</v>
      </c>
      <c r="M26">
        <v>0</v>
      </c>
      <c r="N26">
        <v>0</v>
      </c>
      <c r="O26" s="5">
        <v>1.5051556220362801</v>
      </c>
      <c r="P26">
        <v>4</v>
      </c>
    </row>
    <row r="27" spans="1:16" x14ac:dyDescent="0.2">
      <c r="A27" t="s">
        <v>33</v>
      </c>
      <c r="B27">
        <v>1026</v>
      </c>
      <c r="C27">
        <v>16</v>
      </c>
      <c r="D27">
        <v>1</v>
      </c>
      <c r="E27">
        <v>0</v>
      </c>
      <c r="F27">
        <v>3</v>
      </c>
      <c r="G27">
        <v>2.7103374712150798</v>
      </c>
      <c r="H27">
        <v>5</v>
      </c>
      <c r="I27">
        <v>0</v>
      </c>
      <c r="J27">
        <v>4</v>
      </c>
      <c r="K27">
        <v>0</v>
      </c>
      <c r="L27">
        <v>0</v>
      </c>
      <c r="M27">
        <v>1</v>
      </c>
      <c r="N27">
        <v>0</v>
      </c>
      <c r="O27" s="5">
        <v>2.9778519183157401</v>
      </c>
      <c r="P27">
        <v>2</v>
      </c>
    </row>
    <row r="28" spans="1:16" x14ac:dyDescent="0.2">
      <c r="A28" t="s">
        <v>34</v>
      </c>
      <c r="B28">
        <v>1027</v>
      </c>
      <c r="C28">
        <v>16</v>
      </c>
      <c r="D28">
        <v>0</v>
      </c>
      <c r="E28">
        <v>0</v>
      </c>
      <c r="F28">
        <v>1</v>
      </c>
      <c r="G28">
        <v>10.367992532661299</v>
      </c>
      <c r="H28">
        <v>2</v>
      </c>
      <c r="I28">
        <v>0</v>
      </c>
      <c r="J28">
        <v>2</v>
      </c>
      <c r="K28">
        <v>0</v>
      </c>
      <c r="L28">
        <v>1</v>
      </c>
      <c r="M28">
        <v>0</v>
      </c>
      <c r="N28">
        <v>0</v>
      </c>
      <c r="O28" s="5">
        <v>2.9487176719119201</v>
      </c>
      <c r="P28">
        <v>2</v>
      </c>
    </row>
    <row r="29" spans="1:16" x14ac:dyDescent="0.2">
      <c r="A29" t="s">
        <v>35</v>
      </c>
      <c r="B29">
        <v>1028</v>
      </c>
      <c r="C29">
        <v>16</v>
      </c>
      <c r="D29">
        <v>1</v>
      </c>
      <c r="E29">
        <v>0</v>
      </c>
      <c r="F29">
        <v>3</v>
      </c>
      <c r="G29">
        <v>2.2521845869844102</v>
      </c>
      <c r="H29">
        <v>8</v>
      </c>
      <c r="I29">
        <v>0</v>
      </c>
      <c r="J29">
        <v>3</v>
      </c>
      <c r="K29">
        <v>0</v>
      </c>
      <c r="L29">
        <v>0</v>
      </c>
      <c r="M29">
        <v>1</v>
      </c>
      <c r="N29">
        <v>0</v>
      </c>
      <c r="O29" s="5">
        <v>2.14520472046719</v>
      </c>
      <c r="P29">
        <v>3</v>
      </c>
    </row>
    <row r="30" spans="1:16" x14ac:dyDescent="0.2">
      <c r="A30" t="s">
        <v>36</v>
      </c>
      <c r="B30">
        <v>1029</v>
      </c>
      <c r="C30">
        <v>18</v>
      </c>
      <c r="D30">
        <v>0</v>
      </c>
      <c r="E30">
        <v>0</v>
      </c>
      <c r="F30">
        <v>0</v>
      </c>
      <c r="G30">
        <v>18.679748370252302</v>
      </c>
      <c r="H30">
        <v>10</v>
      </c>
      <c r="I30">
        <v>0</v>
      </c>
      <c r="J30">
        <v>3</v>
      </c>
      <c r="K30">
        <v>1</v>
      </c>
      <c r="L30">
        <v>0</v>
      </c>
      <c r="M30">
        <v>0</v>
      </c>
      <c r="N30">
        <v>0</v>
      </c>
      <c r="O30" s="5">
        <v>2.8548039289813101</v>
      </c>
      <c r="P30">
        <v>2</v>
      </c>
    </row>
    <row r="31" spans="1:16" x14ac:dyDescent="0.2">
      <c r="A31" t="s">
        <v>37</v>
      </c>
      <c r="B31">
        <v>1030</v>
      </c>
      <c r="C31">
        <v>18</v>
      </c>
      <c r="D31">
        <v>0</v>
      </c>
      <c r="E31">
        <v>0</v>
      </c>
      <c r="F31">
        <v>2</v>
      </c>
      <c r="G31">
        <v>3.6715925471029198</v>
      </c>
      <c r="H31">
        <v>20</v>
      </c>
      <c r="I31">
        <v>0</v>
      </c>
      <c r="J31">
        <v>3</v>
      </c>
      <c r="K31">
        <v>1</v>
      </c>
      <c r="L31">
        <v>0</v>
      </c>
      <c r="M31">
        <v>0</v>
      </c>
      <c r="N31">
        <v>0</v>
      </c>
      <c r="O31" s="5">
        <v>1.51944172581513</v>
      </c>
      <c r="P31">
        <v>4</v>
      </c>
    </row>
    <row r="32" spans="1:16" x14ac:dyDescent="0.2">
      <c r="A32" t="s">
        <v>38</v>
      </c>
      <c r="B32">
        <v>1031</v>
      </c>
      <c r="C32">
        <v>15</v>
      </c>
      <c r="D32">
        <v>0</v>
      </c>
      <c r="E32">
        <v>2</v>
      </c>
      <c r="F32">
        <v>2</v>
      </c>
      <c r="G32">
        <v>5.0553171990232801</v>
      </c>
      <c r="H32">
        <v>12</v>
      </c>
      <c r="I32">
        <v>1</v>
      </c>
      <c r="J32">
        <v>0</v>
      </c>
      <c r="K32">
        <v>0</v>
      </c>
      <c r="L32">
        <v>1</v>
      </c>
      <c r="M32">
        <v>0</v>
      </c>
      <c r="N32">
        <v>0</v>
      </c>
      <c r="O32" s="5">
        <v>1.7271203095223999</v>
      </c>
      <c r="P32">
        <v>4</v>
      </c>
    </row>
    <row r="33" spans="1:16" x14ac:dyDescent="0.2">
      <c r="A33" t="s">
        <v>39</v>
      </c>
      <c r="B33">
        <v>1032</v>
      </c>
      <c r="C33">
        <v>15</v>
      </c>
      <c r="D33">
        <v>0</v>
      </c>
      <c r="E33">
        <v>0</v>
      </c>
      <c r="F33">
        <v>3</v>
      </c>
      <c r="G33">
        <v>8.1327305376994001</v>
      </c>
      <c r="H33">
        <v>17</v>
      </c>
      <c r="I33">
        <v>0</v>
      </c>
      <c r="J33">
        <v>4</v>
      </c>
      <c r="K33">
        <v>0</v>
      </c>
      <c r="L33">
        <v>0</v>
      </c>
      <c r="M33">
        <v>0</v>
      </c>
      <c r="N33">
        <v>1</v>
      </c>
      <c r="O33" s="5">
        <v>1.8475354711387899</v>
      </c>
      <c r="P33">
        <v>4</v>
      </c>
    </row>
    <row r="34" spans="1:16" x14ac:dyDescent="0.2">
      <c r="A34" t="s">
        <v>40</v>
      </c>
      <c r="B34">
        <v>1033</v>
      </c>
      <c r="C34">
        <v>18</v>
      </c>
      <c r="D34">
        <v>0</v>
      </c>
      <c r="E34">
        <v>0</v>
      </c>
      <c r="F34">
        <v>3</v>
      </c>
      <c r="G34">
        <v>7.6632893711825103</v>
      </c>
      <c r="H34">
        <v>25</v>
      </c>
      <c r="I34">
        <v>0</v>
      </c>
      <c r="J34">
        <v>1</v>
      </c>
      <c r="K34">
        <v>0</v>
      </c>
      <c r="L34">
        <v>1</v>
      </c>
      <c r="M34">
        <v>0</v>
      </c>
      <c r="N34">
        <v>0</v>
      </c>
      <c r="O34" s="5">
        <v>0.38461697285648699</v>
      </c>
      <c r="P34">
        <v>4</v>
      </c>
    </row>
    <row r="35" spans="1:16" x14ac:dyDescent="0.2">
      <c r="A35" t="s">
        <v>41</v>
      </c>
      <c r="B35">
        <v>1034</v>
      </c>
      <c r="C35">
        <v>16</v>
      </c>
      <c r="D35">
        <v>0</v>
      </c>
      <c r="E35">
        <v>3</v>
      </c>
      <c r="F35">
        <v>3</v>
      </c>
      <c r="G35">
        <v>15.893257847957701</v>
      </c>
      <c r="H35">
        <v>21</v>
      </c>
      <c r="I35">
        <v>0</v>
      </c>
      <c r="J35">
        <v>0</v>
      </c>
      <c r="K35">
        <v>1</v>
      </c>
      <c r="L35">
        <v>1</v>
      </c>
      <c r="M35">
        <v>0</v>
      </c>
      <c r="N35">
        <v>0</v>
      </c>
      <c r="O35" s="5">
        <v>0.94940609779728002</v>
      </c>
      <c r="P35">
        <v>4</v>
      </c>
    </row>
    <row r="36" spans="1:16" x14ac:dyDescent="0.2">
      <c r="A36" t="s">
        <v>42</v>
      </c>
      <c r="B36">
        <v>1035</v>
      </c>
      <c r="C36">
        <v>16</v>
      </c>
      <c r="D36">
        <v>0</v>
      </c>
      <c r="E36">
        <v>0</v>
      </c>
      <c r="F36">
        <v>3</v>
      </c>
      <c r="G36">
        <v>9.1263364110192402</v>
      </c>
      <c r="H36">
        <v>27</v>
      </c>
      <c r="I36">
        <v>1</v>
      </c>
      <c r="J36">
        <v>2</v>
      </c>
      <c r="K36">
        <v>1</v>
      </c>
      <c r="L36">
        <v>1</v>
      </c>
      <c r="M36">
        <v>0</v>
      </c>
      <c r="N36">
        <v>0</v>
      </c>
      <c r="O36" s="5">
        <v>1.14095941842033</v>
      </c>
      <c r="P36">
        <v>4</v>
      </c>
    </row>
    <row r="37" spans="1:16" x14ac:dyDescent="0.2">
      <c r="A37" t="s">
        <v>43</v>
      </c>
      <c r="B37">
        <v>1036</v>
      </c>
      <c r="C37">
        <v>15</v>
      </c>
      <c r="D37">
        <v>0</v>
      </c>
      <c r="E37">
        <v>3</v>
      </c>
      <c r="F37">
        <v>1</v>
      </c>
      <c r="G37">
        <v>3.4153652000667298</v>
      </c>
      <c r="H37">
        <v>23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 s="5">
        <v>0.26147226005075203</v>
      </c>
      <c r="P37">
        <v>4</v>
      </c>
    </row>
    <row r="38" spans="1:16" x14ac:dyDescent="0.2">
      <c r="A38" t="s">
        <v>44</v>
      </c>
      <c r="B38">
        <v>1037</v>
      </c>
      <c r="C38">
        <v>18</v>
      </c>
      <c r="D38">
        <v>0</v>
      </c>
      <c r="E38">
        <v>0</v>
      </c>
      <c r="F38">
        <v>1</v>
      </c>
      <c r="G38">
        <v>5.3441979097214798</v>
      </c>
      <c r="H38">
        <v>26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 s="5">
        <v>0.21828485682103099</v>
      </c>
      <c r="P38">
        <v>4</v>
      </c>
    </row>
    <row r="39" spans="1:16" x14ac:dyDescent="0.2">
      <c r="A39" t="s">
        <v>45</v>
      </c>
      <c r="B39">
        <v>1038</v>
      </c>
      <c r="C39">
        <v>15</v>
      </c>
      <c r="D39">
        <v>0</v>
      </c>
      <c r="E39">
        <v>2</v>
      </c>
      <c r="F39">
        <v>1</v>
      </c>
      <c r="G39">
        <v>10.1822677037504</v>
      </c>
      <c r="H39">
        <v>21</v>
      </c>
      <c r="I39">
        <v>1</v>
      </c>
      <c r="J39">
        <v>1</v>
      </c>
      <c r="K39">
        <v>0</v>
      </c>
      <c r="L39">
        <v>1</v>
      </c>
      <c r="M39">
        <v>0</v>
      </c>
      <c r="N39">
        <v>0</v>
      </c>
      <c r="O39" s="5">
        <v>1.0677635510419701</v>
      </c>
      <c r="P39">
        <v>4</v>
      </c>
    </row>
    <row r="40" spans="1:16" x14ac:dyDescent="0.2">
      <c r="A40" t="s">
        <v>56</v>
      </c>
      <c r="B40">
        <v>1039</v>
      </c>
      <c r="C40">
        <v>15</v>
      </c>
      <c r="D40">
        <v>1</v>
      </c>
      <c r="E40">
        <v>1</v>
      </c>
      <c r="F40">
        <v>1</v>
      </c>
      <c r="G40">
        <v>2.9490783485226899</v>
      </c>
      <c r="H40">
        <v>3</v>
      </c>
      <c r="I40">
        <v>1</v>
      </c>
      <c r="J40">
        <v>1</v>
      </c>
      <c r="K40">
        <v>1</v>
      </c>
      <c r="L40">
        <v>1</v>
      </c>
      <c r="M40">
        <v>0</v>
      </c>
      <c r="N40">
        <v>0</v>
      </c>
      <c r="O40" s="5">
        <v>3.01890585842796</v>
      </c>
      <c r="P4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22587-63AE-C148-8537-0DC3C5A0221E}">
  <dimension ref="A1:J44"/>
  <sheetViews>
    <sheetView tabSelected="1" zoomScale="150" workbookViewId="0">
      <selection activeCell="C33" sqref="C33"/>
    </sheetView>
  </sheetViews>
  <sheetFormatPr baseColWidth="10" defaultRowHeight="15" x14ac:dyDescent="0.2"/>
  <cols>
    <col min="1" max="1" width="19.1640625" customWidth="1"/>
    <col min="2" max="2" width="19.33203125" customWidth="1"/>
    <col min="3" max="3" width="16" bestFit="1" customWidth="1"/>
    <col min="4" max="5" width="19.1640625" customWidth="1"/>
    <col min="6" max="6" width="14" bestFit="1" customWidth="1"/>
    <col min="7" max="7" width="13.33203125" bestFit="1" customWidth="1"/>
    <col min="8" max="8" width="14.5" bestFit="1" customWidth="1"/>
    <col min="9" max="9" width="11.1640625" bestFit="1" customWidth="1"/>
    <col min="10" max="10" width="14.1640625" bestFit="1" customWidth="1"/>
    <col min="11" max="11" width="11.33203125" bestFit="1" customWidth="1"/>
    <col min="12" max="12" width="9.6640625" bestFit="1" customWidth="1"/>
    <col min="13" max="13" width="12.1640625" bestFit="1" customWidth="1"/>
    <col min="14" max="14" width="14.1640625" bestFit="1" customWidth="1"/>
    <col min="15" max="15" width="12.33203125" bestFit="1" customWidth="1"/>
    <col min="16" max="16" width="14.6640625" bestFit="1" customWidth="1"/>
    <col min="17" max="17" width="10" bestFit="1" customWidth="1"/>
    <col min="18" max="18" width="11.83203125" bestFit="1" customWidth="1"/>
    <col min="19" max="19" width="11.6640625" bestFit="1" customWidth="1"/>
    <col min="20" max="20" width="11.83203125" bestFit="1" customWidth="1"/>
    <col min="21" max="21" width="14.1640625" bestFit="1" customWidth="1"/>
    <col min="22" max="22" width="12" bestFit="1" customWidth="1"/>
    <col min="23" max="23" width="14.83203125" bestFit="1" customWidth="1"/>
    <col min="25" max="25" width="13.1640625" bestFit="1" customWidth="1"/>
    <col min="26" max="26" width="12.33203125" bestFit="1" customWidth="1"/>
    <col min="27" max="27" width="13" bestFit="1" customWidth="1"/>
    <col min="28" max="28" width="13.5" bestFit="1" customWidth="1"/>
    <col min="29" max="29" width="14.33203125" bestFit="1" customWidth="1"/>
    <col min="30" max="30" width="14" bestFit="1" customWidth="1"/>
    <col min="31" max="31" width="9.83203125" bestFit="1" customWidth="1"/>
    <col min="32" max="32" width="13.1640625" bestFit="1" customWidth="1"/>
    <col min="33" max="33" width="10.6640625" bestFit="1" customWidth="1"/>
    <col min="34" max="34" width="9.33203125" bestFit="1" customWidth="1"/>
    <col min="35" max="35" width="11" bestFit="1" customWidth="1"/>
    <col min="36" max="36" width="9.6640625" bestFit="1" customWidth="1"/>
    <col min="37" max="37" width="13" bestFit="1" customWidth="1"/>
    <col min="38" max="38" width="13.1640625" bestFit="1" customWidth="1"/>
    <col min="39" max="39" width="12.5" bestFit="1" customWidth="1"/>
    <col min="40" max="40" width="13" bestFit="1" customWidth="1"/>
    <col min="41" max="41" width="6.33203125" bestFit="1" customWidth="1"/>
    <col min="42" max="42" width="10" bestFit="1" customWidth="1"/>
  </cols>
  <sheetData>
    <row r="1" spans="1:10" x14ac:dyDescent="0.2">
      <c r="A1" s="10"/>
      <c r="B1" s="10"/>
      <c r="C1" s="10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x14ac:dyDescent="0.2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x14ac:dyDescent="0.2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 x14ac:dyDescent="0.2">
      <c r="A6" s="10"/>
      <c r="B6" s="10"/>
      <c r="C6" s="10"/>
      <c r="D6" s="6"/>
      <c r="E6" s="6"/>
      <c r="F6" s="6"/>
      <c r="G6" s="6"/>
      <c r="H6" s="6"/>
      <c r="I6" s="6"/>
      <c r="J6" s="6"/>
    </row>
    <row r="7" spans="1:10" x14ac:dyDescent="0.2">
      <c r="A7" s="10"/>
      <c r="B7" s="10"/>
      <c r="C7" s="10"/>
      <c r="D7" s="6"/>
      <c r="E7" s="6"/>
      <c r="F7" s="6"/>
      <c r="G7" s="6"/>
      <c r="H7" s="6"/>
      <c r="I7" s="6"/>
      <c r="J7" s="6"/>
    </row>
    <row r="8" spans="1:10" x14ac:dyDescent="0.2">
      <c r="A8" s="15" t="s">
        <v>71</v>
      </c>
      <c r="B8" s="16" t="s">
        <v>6</v>
      </c>
      <c r="C8" s="10"/>
      <c r="D8" s="6"/>
      <c r="E8" s="6"/>
      <c r="F8" s="6"/>
      <c r="G8" s="6"/>
      <c r="H8" s="6"/>
      <c r="I8" s="6"/>
      <c r="J8" s="6"/>
    </row>
    <row r="9" spans="1:10" x14ac:dyDescent="0.2">
      <c r="A9" s="10"/>
      <c r="B9" s="10"/>
      <c r="C9" s="10"/>
      <c r="D9" s="6"/>
      <c r="E9" s="6"/>
      <c r="F9" s="6"/>
      <c r="G9" s="6"/>
      <c r="H9" s="6"/>
      <c r="I9" s="6"/>
      <c r="J9" s="6"/>
    </row>
    <row r="10" spans="1:10" ht="16" thickBot="1" x14ac:dyDescent="0.25">
      <c r="A10" s="10"/>
      <c r="B10" s="10"/>
      <c r="C10" s="10"/>
      <c r="D10" s="6"/>
      <c r="E10" s="6"/>
      <c r="F10" s="6"/>
      <c r="G10" s="6"/>
      <c r="H10" s="6"/>
      <c r="I10" s="6"/>
      <c r="J10" s="6"/>
    </row>
    <row r="11" spans="1:10" x14ac:dyDescent="0.2">
      <c r="A11" s="24" t="s">
        <v>74</v>
      </c>
      <c r="B11" s="25" t="s">
        <v>72</v>
      </c>
      <c r="C11" s="10"/>
      <c r="D11" s="6"/>
      <c r="E11" s="6"/>
      <c r="F11" s="6"/>
      <c r="G11" s="6"/>
      <c r="H11" s="6"/>
      <c r="I11" s="6"/>
      <c r="J11" s="6"/>
    </row>
    <row r="12" spans="1:10" x14ac:dyDescent="0.2">
      <c r="A12" s="7" t="s">
        <v>7</v>
      </c>
      <c r="B12" s="12">
        <f ca="1">INDEX(INDIRECT("'"&amp;A12&amp;"'!E:E"),MATCH($B$8,INDIRECT("'"&amp;A12&amp;"'!B:B"),0))</f>
        <v>31</v>
      </c>
      <c r="C12" s="10"/>
      <c r="D12" s="6"/>
      <c r="E12" s="6"/>
      <c r="F12" s="6"/>
      <c r="G12" s="6"/>
      <c r="H12" s="6"/>
      <c r="I12" s="6"/>
      <c r="J12" s="6"/>
    </row>
    <row r="13" spans="1:10" x14ac:dyDescent="0.2">
      <c r="A13" s="8" t="s">
        <v>46</v>
      </c>
      <c r="B13" s="12">
        <f t="shared" ref="B13:B17" ca="1" si="0">INDEX(INDIRECT("'"&amp;A13&amp;"'!E:E"),MATCH($B$8,INDIRECT("'"&amp;A13&amp;"'!B:B"),0))</f>
        <v>52</v>
      </c>
      <c r="C13" s="10"/>
      <c r="D13" s="6"/>
      <c r="E13" s="6"/>
      <c r="F13" s="6"/>
      <c r="G13" s="6"/>
      <c r="H13" s="6"/>
      <c r="I13" s="6"/>
      <c r="J13" s="6"/>
    </row>
    <row r="14" spans="1:10" x14ac:dyDescent="0.2">
      <c r="A14" s="7" t="s">
        <v>48</v>
      </c>
      <c r="B14" s="12">
        <f t="shared" ca="1" si="0"/>
        <v>48</v>
      </c>
      <c r="C14" s="10"/>
      <c r="D14" s="6"/>
      <c r="E14" s="6"/>
      <c r="F14" s="6"/>
      <c r="G14" s="6"/>
      <c r="H14" s="6"/>
      <c r="I14" s="6"/>
      <c r="J14" s="6"/>
    </row>
    <row r="15" spans="1:10" x14ac:dyDescent="0.2">
      <c r="A15" s="8" t="s">
        <v>50</v>
      </c>
      <c r="B15" s="12">
        <f t="shared" ca="1" si="0"/>
        <v>35</v>
      </c>
      <c r="C15" s="10"/>
      <c r="D15" s="6"/>
      <c r="E15" s="6"/>
      <c r="F15" s="6"/>
      <c r="G15" s="6"/>
      <c r="H15" s="6"/>
      <c r="I15" s="6"/>
      <c r="J15" s="6"/>
    </row>
    <row r="16" spans="1:10" x14ac:dyDescent="0.2">
      <c r="A16" s="7" t="s">
        <v>52</v>
      </c>
      <c r="B16" s="12">
        <f t="shared" ca="1" si="0"/>
        <v>69</v>
      </c>
      <c r="C16" s="10"/>
      <c r="D16" s="6"/>
      <c r="E16" s="6"/>
      <c r="F16" s="6"/>
      <c r="G16" s="6"/>
      <c r="H16" s="6"/>
      <c r="I16" s="6"/>
      <c r="J16" s="6"/>
    </row>
    <row r="17" spans="1:10" x14ac:dyDescent="0.2">
      <c r="A17" s="8" t="s">
        <v>54</v>
      </c>
      <c r="B17" s="12">
        <f t="shared" ca="1" si="0"/>
        <v>70</v>
      </c>
      <c r="C17" s="10"/>
      <c r="D17" s="6"/>
      <c r="E17" s="6"/>
      <c r="F17" s="6"/>
      <c r="G17" s="6"/>
      <c r="H17" s="6"/>
      <c r="I17" s="6"/>
      <c r="J17" s="6"/>
    </row>
    <row r="18" spans="1:10" ht="16" thickBot="1" x14ac:dyDescent="0.25">
      <c r="A18" s="9" t="s">
        <v>73</v>
      </c>
      <c r="B18" s="13">
        <f ca="1">SUM(B12:B17)</f>
        <v>305</v>
      </c>
      <c r="C18" s="10"/>
      <c r="D18" s="6"/>
      <c r="E18" s="6"/>
      <c r="F18" s="6"/>
      <c r="G18" s="6"/>
      <c r="H18" s="6"/>
      <c r="I18" s="6"/>
      <c r="J18" s="6"/>
    </row>
    <row r="19" spans="1:10" x14ac:dyDescent="0.2">
      <c r="A19" s="10"/>
      <c r="B19" s="10"/>
      <c r="C19" s="10"/>
      <c r="D19" s="6"/>
      <c r="E19" s="6"/>
      <c r="F19" s="6"/>
      <c r="G19" s="6"/>
      <c r="H19" s="6"/>
      <c r="I19" s="6"/>
      <c r="J19" s="6"/>
    </row>
    <row r="20" spans="1:10" ht="16" thickBot="1" x14ac:dyDescent="0.25">
      <c r="A20" s="10"/>
      <c r="B20" s="10"/>
      <c r="C20" s="10"/>
      <c r="D20" s="6"/>
      <c r="E20" s="6"/>
      <c r="F20" s="6"/>
      <c r="G20" s="6"/>
      <c r="H20" s="6"/>
      <c r="I20" s="6"/>
      <c r="J20" s="6"/>
    </row>
    <row r="21" spans="1:10" x14ac:dyDescent="0.2">
      <c r="A21" s="26" t="s">
        <v>79</v>
      </c>
      <c r="B21" s="19">
        <f>INDEX('Additional Details'!H:H,MATCH($B$8,'Additional Details'!A:A,0))</f>
        <v>7</v>
      </c>
      <c r="C21" s="10"/>
      <c r="D21" s="6"/>
      <c r="E21" s="6"/>
      <c r="F21" s="6"/>
      <c r="G21" s="6"/>
      <c r="H21" s="6"/>
      <c r="I21" s="6"/>
      <c r="J21" s="6"/>
    </row>
    <row r="22" spans="1:10" x14ac:dyDescent="0.2">
      <c r="A22" s="11" t="s">
        <v>76</v>
      </c>
      <c r="B22" s="22">
        <f>(30-B21)/30*100</f>
        <v>76.666666666666671</v>
      </c>
      <c r="C22" s="10"/>
      <c r="D22" s="6"/>
      <c r="E22" s="6"/>
      <c r="F22" s="6"/>
      <c r="G22" s="6"/>
      <c r="H22" s="6"/>
      <c r="I22" s="6"/>
      <c r="J22" s="6"/>
    </row>
    <row r="23" spans="1:10" ht="16" thickBot="1" x14ac:dyDescent="0.25">
      <c r="A23" s="20" t="s">
        <v>78</v>
      </c>
      <c r="B23" s="23">
        <f>(B21/30)*100</f>
        <v>23.333333333333332</v>
      </c>
      <c r="C23" s="10"/>
      <c r="D23" s="6"/>
      <c r="E23" s="6"/>
      <c r="F23" s="6"/>
      <c r="G23" s="6"/>
      <c r="H23" s="6"/>
      <c r="I23" s="6"/>
      <c r="J23" s="6"/>
    </row>
    <row r="24" spans="1:10" x14ac:dyDescent="0.2">
      <c r="A24" s="17"/>
      <c r="B24" s="10"/>
      <c r="C24" s="10"/>
      <c r="D24" s="6"/>
      <c r="E24" s="6"/>
      <c r="F24" s="6"/>
      <c r="G24" s="6"/>
      <c r="H24" s="6"/>
      <c r="I24" s="6"/>
      <c r="J24" s="6"/>
    </row>
    <row r="25" spans="1:10" ht="16" thickBot="1" x14ac:dyDescent="0.25">
      <c r="A25" s="18"/>
      <c r="B25" s="10"/>
      <c r="C25" s="10"/>
      <c r="D25" s="6"/>
      <c r="E25" s="6"/>
      <c r="F25" s="6"/>
      <c r="G25" s="6"/>
      <c r="H25" s="6"/>
      <c r="I25" s="6"/>
      <c r="J25" s="6"/>
    </row>
    <row r="26" spans="1:10" x14ac:dyDescent="0.2">
      <c r="A26" s="26" t="s">
        <v>75</v>
      </c>
      <c r="B26" s="19">
        <f>INDEX('Additional Details'!G:G,MATCH($B$8,'Additional Details'!A:A,0))</f>
        <v>19.833722807854699</v>
      </c>
      <c r="C26" s="10"/>
      <c r="D26" s="6"/>
      <c r="E26" s="6"/>
      <c r="F26" s="6"/>
      <c r="G26" s="6"/>
      <c r="H26" s="6"/>
      <c r="I26" s="6"/>
      <c r="J26" s="6"/>
    </row>
    <row r="27" spans="1:10" ht="16" thickBot="1" x14ac:dyDescent="0.25">
      <c r="A27" s="20" t="s">
        <v>77</v>
      </c>
      <c r="B27" s="21">
        <f>AVERAGE(B26)*4</f>
        <v>79.334891231418794</v>
      </c>
      <c r="C27" s="10"/>
      <c r="D27" s="6"/>
      <c r="E27" s="6"/>
      <c r="F27" s="6"/>
      <c r="G27" s="6"/>
      <c r="H27" s="6"/>
      <c r="I27" s="6"/>
      <c r="J27" s="6"/>
    </row>
    <row r="28" spans="1:10" x14ac:dyDescent="0.2">
      <c r="A28" s="10"/>
      <c r="B28" s="10"/>
      <c r="C28" s="10"/>
      <c r="D28" s="6"/>
      <c r="E28" s="6"/>
      <c r="F28" s="6"/>
      <c r="G28" s="6"/>
      <c r="H28" s="6"/>
      <c r="I28" s="6"/>
      <c r="J28" s="6"/>
    </row>
    <row r="29" spans="1:10" x14ac:dyDescent="0.2">
      <c r="A29" s="10"/>
      <c r="B29" s="10"/>
      <c r="C29" s="10"/>
      <c r="D29" s="6"/>
      <c r="E29" s="6"/>
      <c r="F29" s="6"/>
      <c r="G29" s="6"/>
      <c r="H29" s="6"/>
      <c r="I29" s="6"/>
      <c r="J29" s="6"/>
    </row>
    <row r="30" spans="1:10" x14ac:dyDescent="0.2">
      <c r="A30" s="27" t="s">
        <v>74</v>
      </c>
      <c r="B30" s="27" t="s">
        <v>80</v>
      </c>
      <c r="C30" s="10"/>
      <c r="D30" s="6"/>
      <c r="E30" s="6"/>
      <c r="F30" s="6"/>
      <c r="G30" s="6"/>
      <c r="H30" s="6"/>
      <c r="I30" s="6"/>
      <c r="J30" s="6"/>
    </row>
    <row r="31" spans="1:10" x14ac:dyDescent="0.2">
      <c r="A31" s="28" t="s">
        <v>7</v>
      </c>
      <c r="B31" s="14">
        <f ca="1">INDEX(INDIRECT(Biology!C2&amp; "!F:F"), MATCH($B8, INDIRECT(Biology!C2 &amp; "!B:B"), 0))</f>
        <v>0</v>
      </c>
      <c r="C31" s="10"/>
      <c r="D31" s="6"/>
      <c r="E31" s="6"/>
      <c r="F31" s="6"/>
      <c r="G31" s="6"/>
      <c r="H31" s="6"/>
      <c r="I31" s="6"/>
      <c r="J31" s="6"/>
    </row>
    <row r="32" spans="1:10" x14ac:dyDescent="0.2">
      <c r="A32" s="29" t="s">
        <v>46</v>
      </c>
      <c r="B32" s="14">
        <f ca="1">INDEX(INDIRECT(Chemistry!C3&amp; "!F:F"), MATCH($B8, INDIRECT(Chemistry!C3 &amp; "!B:B"), 0))</f>
        <v>0</v>
      </c>
      <c r="C32" s="10"/>
      <c r="D32" s="6"/>
      <c r="E32" s="6"/>
      <c r="F32" s="6"/>
      <c r="G32" s="6"/>
      <c r="H32" s="6"/>
      <c r="I32" s="6"/>
      <c r="J32" s="6"/>
    </row>
    <row r="33" spans="1:10" x14ac:dyDescent="0.2">
      <c r="A33" s="28" t="s">
        <v>48</v>
      </c>
      <c r="B33" s="14">
        <f ca="1">INDEX(INDIRECT(Mathematics!C2&amp; "!F:F"), MATCH($B8, INDIRECT(Mathematics!C2 &amp; "!B:B"), 0))</f>
        <v>0</v>
      </c>
      <c r="C33" s="10"/>
      <c r="D33" s="6"/>
      <c r="E33" s="6"/>
      <c r="F33" s="6"/>
      <c r="G33" s="6"/>
      <c r="H33" s="6"/>
      <c r="I33" s="6"/>
      <c r="J33" s="6"/>
    </row>
    <row r="34" spans="1:10" x14ac:dyDescent="0.2">
      <c r="A34" s="29" t="s">
        <v>50</v>
      </c>
      <c r="B34" s="14">
        <f ca="1">INDEX(INDIRECT(Philosophy!C2&amp; "!F:F"), MATCH($B8, INDIRECT(Philosophy!C2 &amp; "!B:B"), 0))</f>
        <v>0</v>
      </c>
      <c r="C34" s="10"/>
      <c r="D34" s="6"/>
      <c r="E34" s="6"/>
      <c r="F34" s="6"/>
      <c r="G34" s="6"/>
      <c r="H34" s="6"/>
      <c r="I34" s="6"/>
      <c r="J34" s="6"/>
    </row>
    <row r="35" spans="1:10" x14ac:dyDescent="0.2">
      <c r="A35" s="28" t="s">
        <v>52</v>
      </c>
      <c r="B35" s="14">
        <f ca="1">INDEX(INDIRECT(Physics!C2&amp; "!F:F"), MATCH($B8, INDIRECT(Physics!C2&amp; "!B:B"), 0))</f>
        <v>1</v>
      </c>
      <c r="C35" s="10"/>
      <c r="D35" s="6"/>
      <c r="E35" s="6"/>
      <c r="F35" s="6"/>
      <c r="G35" s="6"/>
      <c r="H35" s="6"/>
      <c r="I35" s="6"/>
      <c r="J35" s="6"/>
    </row>
    <row r="36" spans="1:10" x14ac:dyDescent="0.2">
      <c r="A36" s="29" t="s">
        <v>54</v>
      </c>
      <c r="B36" s="14">
        <f ca="1">INDEX(INDIRECT(Sociology!C2&amp; "!F:F"), MATCH($B8, INDIRECT(Sociology!C2 &amp; "!B:B"), 0))</f>
        <v>1</v>
      </c>
      <c r="C36" s="10"/>
      <c r="D36" s="6"/>
      <c r="E36" s="6"/>
      <c r="F36" s="6"/>
      <c r="G36" s="6"/>
      <c r="H36" s="6"/>
      <c r="I36" s="6"/>
      <c r="J36" s="6"/>
    </row>
    <row r="37" spans="1:10" x14ac:dyDescent="0.2">
      <c r="A37" s="10"/>
      <c r="B37" s="10"/>
      <c r="C37" s="10"/>
      <c r="D37" s="6"/>
      <c r="E37" s="6"/>
      <c r="F37" s="6"/>
      <c r="G37" s="6"/>
      <c r="H37" s="6"/>
      <c r="I37" s="6"/>
      <c r="J37" s="6"/>
    </row>
    <row r="38" spans="1:10" x14ac:dyDescent="0.2">
      <c r="A38" s="10"/>
      <c r="B38" s="10"/>
      <c r="C38" s="10"/>
      <c r="D38" s="6"/>
      <c r="E38" s="6"/>
      <c r="F38" s="6"/>
      <c r="G38" s="6"/>
      <c r="H38" s="6"/>
      <c r="I38" s="6"/>
      <c r="J38" s="6"/>
    </row>
    <row r="39" spans="1:10" x14ac:dyDescent="0.2">
      <c r="A39" s="10"/>
      <c r="B39" s="10"/>
      <c r="C39" s="10"/>
      <c r="D39" s="6"/>
      <c r="E39" s="6"/>
      <c r="F39" s="6"/>
      <c r="G39" s="6"/>
      <c r="H39" s="6"/>
      <c r="I39" s="6"/>
      <c r="J39" s="6"/>
    </row>
    <row r="40" spans="1:10" x14ac:dyDescent="0.2">
      <c r="A40" s="10"/>
      <c r="B40" s="10"/>
      <c r="C40" s="10"/>
      <c r="D40" s="6"/>
      <c r="E40" s="6"/>
      <c r="F40" s="6"/>
      <c r="G40" s="6"/>
      <c r="H40" s="6"/>
      <c r="I40" s="6"/>
      <c r="J40" s="6"/>
    </row>
    <row r="41" spans="1:10" x14ac:dyDescent="0.2">
      <c r="A41" s="10"/>
      <c r="B41" s="10"/>
      <c r="C41" s="10"/>
      <c r="D41" s="6"/>
      <c r="E41" s="6"/>
      <c r="F41" s="6"/>
      <c r="G41" s="6"/>
      <c r="H41" s="6"/>
      <c r="I41" s="6"/>
      <c r="J41" s="6"/>
    </row>
    <row r="42" spans="1:10" x14ac:dyDescent="0.2">
      <c r="A42" s="10"/>
      <c r="B42" s="10"/>
      <c r="C42" s="10"/>
      <c r="D42" s="6"/>
      <c r="E42" s="6"/>
      <c r="F42" s="6"/>
      <c r="G42" s="6"/>
      <c r="H42" s="6"/>
      <c r="I42" s="6"/>
      <c r="J42" s="6"/>
    </row>
    <row r="43" spans="1:10" x14ac:dyDescent="0.2">
      <c r="A43" s="10"/>
      <c r="B43" s="10"/>
      <c r="C43" s="10"/>
      <c r="D43" s="6"/>
      <c r="E43" s="6"/>
      <c r="F43" s="6"/>
      <c r="G43" s="6"/>
      <c r="H43" s="6"/>
      <c r="I43" s="6"/>
      <c r="J43" s="6"/>
    </row>
    <row r="44" spans="1:10" x14ac:dyDescent="0.2">
      <c r="A44" s="10"/>
      <c r="B44" s="10"/>
      <c r="C44" s="10"/>
      <c r="D44" s="6"/>
      <c r="E44" s="6"/>
      <c r="F44" s="6"/>
      <c r="G44" s="6"/>
      <c r="H44" s="6"/>
      <c r="I44" s="6"/>
      <c r="J44" s="6"/>
    </row>
  </sheetData>
  <dataConsolidate function="count">
    <dataRefs count="1">
      <dataRef name=",Chemistry!,Mathematics!,Philosophy!,Physics!,Sociology!"/>
    </dataRefs>
  </dataConsolidate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C3A360-5267-354B-8509-92EC1DA37EFD}">
          <x14:formula1>
            <xm:f>'Additional Details'!$A$2:$A$40</xm:f>
          </x14:formula1>
          <xm:sqref>H8 B8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Biology</vt:lpstr>
      <vt:lpstr>Chemistry</vt:lpstr>
      <vt:lpstr>Mathematics</vt:lpstr>
      <vt:lpstr>Philosophy</vt:lpstr>
      <vt:lpstr>Physics</vt:lpstr>
      <vt:lpstr>Sociology</vt:lpstr>
      <vt:lpstr>Additional Details</vt:lpstr>
      <vt:lpstr>Final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 Kumari</dc:creator>
  <cp:keywords/>
  <dc:description/>
  <cp:lastModifiedBy>Rohan Chauthe</cp:lastModifiedBy>
  <cp:revision/>
  <dcterms:created xsi:type="dcterms:W3CDTF">2024-11-18T04:47:18Z</dcterms:created>
  <dcterms:modified xsi:type="dcterms:W3CDTF">2025-09-22T17:21:28Z</dcterms:modified>
  <cp:category/>
  <cp:contentStatus/>
</cp:coreProperties>
</file>